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Recommendations" state="visible" r:id="rId5"/>
    <sheet sheetId="3" name="Sheet1" state="visible" r:id="rId6"/>
    <sheet sheetId="4" name="Benchmarking" state="visible" r:id="rId7"/>
  </sheets>
  <calcPr calcId="171027"/>
</workbook>
</file>

<file path=xl/sharedStrings.xml><?xml version="1.0" encoding="utf-8"?>
<sst xmlns="http://schemas.openxmlformats.org/spreadsheetml/2006/main" count="6648" uniqueCount="1908">
  <si>
    <t>module_id</t>
  </si>
  <si>
    <t>module_name</t>
  </si>
  <si>
    <t>area_id</t>
  </si>
  <si>
    <t>area_name</t>
  </si>
  <si>
    <t>area_weight</t>
  </si>
  <si>
    <t>subpoint_id</t>
  </si>
  <si>
    <t>subpoint_name</t>
  </si>
  <si>
    <t>subpoint_weight</t>
  </si>
  <si>
    <t>score_1_desc</t>
  </si>
  <si>
    <t>score_2_desc</t>
  </si>
  <si>
    <t>score_3_desc</t>
  </si>
  <si>
    <t>score_4_desc</t>
  </si>
  <si>
    <t>score_5_desc</t>
  </si>
  <si>
    <t>version</t>
  </si>
  <si>
    <t>status</t>
  </si>
  <si>
    <t>level_review</t>
  </si>
  <si>
    <t>indicative_scoring_questions</t>
  </si>
  <si>
    <t>process_step_no</t>
  </si>
  <si>
    <t>process_step_name</t>
  </si>
  <si>
    <t>primary_kpi_metric</t>
  </si>
  <si>
    <t>further_analysis_required</t>
  </si>
  <si>
    <t>Zepto_Rating</t>
  </si>
  <si>
    <t>Zepto_Benchmark_Evidence</t>
  </si>
  <si>
    <t>Zepto_Confidence</t>
  </si>
  <si>
    <t>Blinkit_Rating</t>
  </si>
  <si>
    <t>Blinkit_Benchmark_Evidence</t>
  </si>
  <si>
    <t>Blinkit_Confidence</t>
  </si>
  <si>
    <t>Instamart_Rating</t>
  </si>
  <si>
    <t>Instamart_Benchmark_Evidence</t>
  </si>
  <si>
    <t>Instamart_Confidence</t>
  </si>
  <si>
    <t>Benchmark_Leader</t>
  </si>
  <si>
    <t>Benchmark_Source_Note</t>
  </si>
  <si>
    <t>FC_Rating</t>
  </si>
  <si>
    <t>FC_Benchmark_Evidence</t>
  </si>
  <si>
    <t>FC_Confidence</t>
  </si>
  <si>
    <t>WH_V1</t>
  </si>
  <si>
    <t>Warehousing - Full Domain Diagnostic</t>
  </si>
  <si>
    <t>A1</t>
  </si>
  <si>
    <t>Scheduling</t>
  </si>
  <si>
    <t>A1.1</t>
  </si>
  <si>
    <t>Appointment Scheduling</t>
  </si>
  <si>
    <t xml:space="preserve">&lt;20% of inbound trucks arrive against a pre-booked slot.
&gt;50% of daily volume clusters into a single 2-hour window, causing dock queuing beyond 2 hours.
No designated driver holding area - drivers and helpers congregate at the security gate causing congestion.
Dock-in time is not captured, so it cannot feed downstream Goods Receipt Note (GRN) turnaround-time (TAT) SLAs.
Slot booking, where it exists, is a manual register entry with no Quick Response (QR)/Booking-ID confirmation shared with the vendor ahead of arrival.</t>
  </si>
  <si>
    <t xml:space="preserve">20-50% slot adherence.
Peak-hour concentration still exceeds 40% of daily volume.
Average vehicle wait time 60-120 minutes.
An informal holding area exists but is not enforced, so congregation at the gate persists.
Dock-in time is logged manually but not used to track GRN TAT.
A digital slot booking exists for under 30% of vendors, without a QR/Booking-ID confirmation shared back to the vendor.</t>
  </si>
  <si>
    <t xml:space="preserve">50-75% slot adherence via a basic appointment scheduler.
Peak-hour concentration reduced to 25-40%.
Average wait time 30-60 minutes.
A designated driver holding area away from the security gate is marked and used for the majority of vehicles.
Dock-in time is captured and reviewed, but not yet formalized as an Service Level Agreement (SLA) input for GRN TAT.
A digital slot booking with a QR/Booking-ID confirmation (D-2 indent leading to a D-1 slot) is shared with 30-60% of vendors ahead of arrival.</t>
  </si>
  <si>
    <t xml:space="preserve">75-90% slot adherence with system-enforced windows.
Peak-hour concentration under 25%.
Average wait time under 30 minutes.
Adherence tracked daily.
The driver holding area is enforced with signage/marshalling, keeping the security gate clear.
Dock-in time is captured digitally and used as the starting SLA clock for downstream GRN TAT.
Digital slot booking with a QR/Booking-ID confirmation (D-2 indent to D-1 slot) is shared with 60-90% of vendors, scanned at the gate to authenticate arrival.</t>
  </si>
  <si>
    <t xml:space="preserve">&gt;90% slot adherence with automated vendor notification.
Load spread within +/-10% across all shift hours.
Average wait time under 15 minutes.
zero congregation at the security gate.
Dock-in time is system-captured and forms the auditable SLA start-point for GRN TAT, with automated breach alerts.
Digital slot booking with a QR/Booking-ID confirmation (D-2 indent to D-1 slot) is shared with over 90% of vendors and scanned at the gate as the primary authentication step, with zero manual slot entries.</t>
  </si>
  <si>
    <t>1</t>
  </si>
  <si>
    <t>active</t>
  </si>
  <si>
    <t xml:space="preserve">1 [APPROVED] - Need to change the Ad-Hoc
2 [APPROVED] - Increase the percentage to 30 to 50%  check
3 [APPROVED] - 
4 [APPROVED] - 
5 [APPROVED] - </t>
  </si>
  <si>
    <t xml:space="preserve">• Is there a defined slot-booking mechanism for inbound vehicles? What % arrive within their booked slot?
• What % of daily inbound volume clusters into a single peak window, and what is the average vehicle wait time?
• Is a designated driver holding area (away from the security gate) marked and enforced?
• Is dock-in time captured, and does it feed the Goods Receipt Note (GRN) turnaround-time (TAT) Service Level Agreement (SLA)?
• Is slot booking digital, with a Quick Response (QR)/Booking-ID sent to vendors ahead of arrival and scanned at the gate?</t>
  </si>
  <si>
    <t>1. Scheduling</t>
  </si>
  <si>
    <t>Slot Adherence % = Vehicles Arriving Within Booked Slot / Total Vehicles Arrived x 100; supported by Average Vehicle Wait Time (minutes).</t>
  </si>
  <si>
    <t>None</t>
  </si>
  <si>
    <t>Data Not Available</t>
  </si>
  <si>
    <t>No corresponding/usable data in the Benchmarking tab for this company on this subpoint.</t>
  </si>
  <si>
    <t>No corresponding data found in the Benchmarking tab for this subpoint.</t>
  </si>
  <si>
    <t>A2</t>
  </si>
  <si>
    <t>Gate Entry</t>
  </si>
  <si>
    <t>A2.1</t>
  </si>
  <si>
    <t>Gate Entry &amp; Documentation Verification</t>
  </si>
  <si>
    <t xml:space="preserve">&lt;50% of gate entries verified against indent/invoice before unloading starts (across the 70:30 vendor:courier vehicle mix, with no differentiated checklist for vendor vs courier vehicles).
Documentation/invoice mismatch rate above 30%.
Average gate-in time over 20 min/vehicle.
There is no driver-ID or vehicle-number authentication against the booked slot, and temperature checks (where done at all) are not scoped to any specific Stock-Keeping Unit (SKU) or deviation threshold.</t>
  </si>
  <si>
    <t xml:space="preserve">50-70% verified pre-unload, using a single generic checklist applied to both vendor (70% of vehicle mix) and courier (30% of vehicle mix) vehicles.
Mismatch rate 20-30%.
Gate-in time 15-20 min/vehicle.
Driver-ID and vehicle-number are checked against the slot for under 30% of vehicles.
A temperature check is performed inconsistently and without a defined deviation threshold, even for 4°C-sensitive SKUs (e.g., mushrooms).</t>
  </si>
  <si>
    <t xml:space="preserve">70-85% verified against a defined checklist (vendor, invoice, indented qty, reefer temperature), with separate verification steps for vendor trucks (70% of vehicle mix) and courier vans (30% of vehicle mix).
Mismatch rate 10-20%.
Gate-in time 10-15 min.
Driver-ID and vehicle-number are authenticated against the vendor code, Purchase Order (PO), and slot for 30-60% of vehicles.
Temperature is checked specifically for 4°C-sensitive SKUs (e.g., mushrooms,apples etc) but the reject threshold (e.g., &gt;3°C deviation) is not consistently applied.</t>
  </si>
  <si>
    <t xml:space="preserve">85-95% verified via system-assisted matching (barcode/Optical Character Recognition (OCR)) across both vendor (70% of vehicle mix) and courier (30% of vehicle mix) vehicle streams.
Mismatch rate 5-10%.
Gate-in time 5-10 min.
100% of reefer vehicles temperature-logged.
Driver-ID and vehicle-number authentication against vendor code, PO, and slot covers 60-90% of vehicles.
A defined temperature-reject rule (&gt;3°C deviation for 4°C-sensitive SKUs such as mushrooms only, not the full FnV range) is applied consistently.</t>
  </si>
  <si>
    <t xml:space="preserve">&gt;95% verified end-to-end digitally with zero manual entry, with vendor (70% of vehicle mix) and courier (30% of vehicle mix) streams tracked and matched separately.
Mismatch rate under 5%.
Gate-in time under 5 min.
Full audit trail with automated exception flags.
Driver-ID and vehicle-number authentication against vendor code, PO, and slot covers over 90% of vehicles with zero exceptions.
The &gt;3°C-deviation temperature-reject rule, scoped only to 4°C-sensitive SKUs (e.g., mushrooms), is enforced with zero missed checks and logged as part of the gate audit trail.</t>
  </si>
  <si>
    <t xml:space="preserve">1 [PENDING] - 
2 [PENDING] - 
3 [PENDING] - 
4 [PENDING] - 
5 [PENDING] - </t>
  </si>
  <si>
    <t xml:space="preserve">• What % of gate entries are verified against indent/invoice before unloading starts?
• Is there a separate verification checklist for vendor vehicles vs courier vehicles (given the typical 70:30 mix)?
• What is the documentation/invoice mismatch rate, and average gate-in time per vehicle?
• Is driver-ID and vehicle-number authenticated against the vendor code, Purchase Order (PO), and booked slot?
• Is temperature checked for temperature-sensitive Stock-Keeping Units (SKUs) (e.g., mushrooms), with a defined deviation reject threshold (e.g., &gt;3°C)?</t>
  </si>
  <si>
    <t>2</t>
  </si>
  <si>
    <t>2. Gate Entry</t>
  </si>
  <si>
    <t>Pre-Unload Verification % = Vehicles Verified Against Indent/Invoice Before Unloading Starts / Total Vehicles x 100; supported by Average Gate-In Time (minutes/vehicle).</t>
  </si>
  <si>
    <t>A2.2</t>
  </si>
  <si>
    <t>Gate Release Decision &amp; Capacity Gating</t>
  </si>
  <si>
    <t xml:space="preserve">Gate operates as a security checkpoint, 
trucks are waved onto the dock/yard regardless of whether a dock bay or staging space is available, with no reject / temp-reject / hold / bypass decision rule (checks vary guard-to-guard).
Gate-out has no exit slip or outbound-seal verification. Vehicles routinely block the dock and back up into S&amp;G congestion.</t>
  </si>
  <si>
    <t xml:space="preserve">A capacity check is attempted informally for under 30% of gate-ins (e.g., a phone call to the dock supervisor or physical check) with no defined time window, so vehicles sent to hold still cause dock-blocking regularly.
Reject/hold decisions depend on individual guard judgment.
Gate-out has no formal exit slip or seal check.</t>
  </si>
  <si>
    <t xml:space="preserve">A defined capacity check (dock bay + staging pallet positions available within a stated window, e.g., 15 minutes) gates 30-60% of gate-ins, routing 'no' decisions to the holding area.
A basic reject-vs-hold rule exists, but temp-reject (scoped to 4°C SKUs) and bypass-routing (pre-packed vendors) are not yet part of the same decision rule.
Gate-out issues an exit slip for the majority of dispatches but outbound emptyness of return to vendor(RTV) is not checked</t>
  </si>
  <si>
    <t xml:space="preserve">Capacity-gated release (dock bay + staging space confirmed within 15 minutes) governs 60-90% of gate-ins.
The full reject / temp-reject / hold / bypass decision  is defined and applied consistently, with 'hold' vehicles routed to the designated holding area.
Gate-out issues an exit slip and verifies the outbound vehicle are empty or have only the RTV material for the majority of dispatches.
Physical enablers (multi-lane entry, boom barrier, Closed-Circuit Television (CCTV)/tablet at the gate) are in place.</t>
  </si>
  <si>
    <t xml:space="preserve">Over 90% of gate-ins are capacity-gated in real time (dock bay + staging space confirmed within 15 minutes, tied live to the dock-management and staging systems), with zero blind releases and zero dock-blocking incidents.
The full reject / temp-reject / hold / bypass decision is applied with a complete audit trail.
Gate-out is fully controlled (exit slip plus outbound  verification on 100% of dispatches).
Physical enablers (multi-lane entry with boom barrier, CCTV/tablet where applicable) are fully deployed.</t>
  </si>
  <si>
    <t xml:space="preserve">• Is a capacity check (dock bay + staging space availability within a defined time window) performed before releasing a vehicle onto the dock?
• Is there a defined reject/temp-reject/hold/bypass decision rule, applied consistently rather than left to individual guard judgment?
• What % of gate-ins are capacity-gated, and are dock-blocking incidents tracked?
• Is an exit slip issued at gate-out, and is the outbound vehicle checked for empty or Return to Vendor (RTV)-only load?
• Are physical enablers (multi-lane entry, boom barrier, Closed-Circuit Television (CCTV)/tablet) in place at the gate?</t>
  </si>
  <si>
    <t>Capacity-Gated Release % = Gate-Ins Released Only After Dock/Staging Space Confirmation / Total Gate-Ins x 100.</t>
  </si>
  <si>
    <t>A2.3</t>
  </si>
  <si>
    <t>Manpower Entry Management</t>
  </si>
  <si>
    <t xml:space="preserve">0% biometric/facial recognition coverage at shift changeovers.
Manual register only, with no zone-wise capturing of manpower entries (e.g., S&amp;G, packing, put-away, dispatch) against planned manpower
Unauthorized-entry incidents exceed 60 per month.</t>
  </si>
  <si>
    <t xml:space="preserve">Under 30% biometric coverage.
Manual plus partial physical checks.
Zone-wise entry counts recorded ad hoc for under 30% of zones, not benchmarked against a  manpower plan.
Unauthorized-entry incidents 30-60 per month.</t>
  </si>
  <si>
    <t xml:space="preserve">30-60% facial recognition coverage at main shift changeovers.
Zone-wise manpower entry tracked for 30-60% of zones (e.g., S&amp;G, packing, put-away) against a defined headcount  ( e.g., ~10 for S&amp;G, ~25 for packing), reviewed daily.
Unauthorized-entry incidents 10-30 per month.</t>
  </si>
  <si>
    <t xml:space="preserve">60-90% coverage across all shifts and gates.
Zone-wise entry captured and reconciled daily for 60-90% of zones against the warehouse-sizing-based manpower plan, integrated with the attendance system.
Unauthorized-entry incidents under 10 per month, zero incidents in the last quarter.</t>
  </si>
  <si>
    <t xml:space="preserve">100% facial recognition and physical-check coverage across all shifts and gates.
Zone-wise manpower entry captured in real time for 100% of zones, with automated variance alerts against the warehouse-sizing-based headcount plan.
Zero unauthorized-entry incidents in the last 12 months.
Real-time anomaly alerts.</t>
  </si>
  <si>
    <t xml:space="preserve">• What % of shift changeovers are covered by biometric/facial-recognition entry checks?
• Is manpower entry tracked zone-wise (e.g., Sorting &amp; Grading (S&amp;G), packing, put-away, dispatch) against a defined headcount plan?
• How many unauthorized-entry incidents occur per month?
• Is zone-wise entry reconciled daily or in real time, with variance alerts against the manpower plan?</t>
  </si>
  <si>
    <t>Biometric/Facial Recognition Coverage % = Shift Changeovers Captured Biometrically / Total Shift Changeovers x 100; supported by Unauthorized-Entry Incidents per Month.</t>
  </si>
  <si>
    <t>A3</t>
  </si>
  <si>
    <t>Dock Allotment</t>
  </si>
  <si>
    <t>A3.1</t>
  </si>
  <si>
    <t>Dock Management System</t>
  </si>
  <si>
    <t xml:space="preserve">No formal dock allocation system.
Dock utilization under 50%.
Docks unnumbered or inconsistently numbered.</t>
  </si>
  <si>
    <t xml:space="preserve">Manual dock allocation sheet.
Utilization 50-65%.
Docks numbered in the past but not visible or signages are missing</t>
  </si>
  <si>
    <t xml:space="preserve">Defined dock allocation by vehicle size with numbered docks.
Utilization 65-80%.
First-In-First-Out (FIFO) followed for over 70% of vehicles.</t>
  </si>
  <si>
    <t xml:space="preserve">System-based dock scheduling with size-matched allocation.
Utilization 80-90%.
FIFO adherence above 90%.
Green-channel vehicles wait time within 15 minutes.</t>
  </si>
  <si>
    <t xml:space="preserve">Fully automated dock-vehicle matching with real-time queuing.
Utilization above 90%.
FIFO adherence 100%.
Green-channel wait time under 10 minutes.</t>
  </si>
  <si>
    <t xml:space="preserve">• Is there a formal dock allocation system, and are docks clearly numbered and signed?
• What is current dock utilization % (dock-hours occupied / available dock-hours)?
• Is dock allocation matched to vehicle size?
• What % of vehicles are handled First-In-First-Out (FIFO)?
• Is there a green-channel lane for priority vehicles, and what is its wait time?</t>
  </si>
  <si>
    <t>3</t>
  </si>
  <si>
    <t>3. Dock Allotment</t>
  </si>
  <si>
    <t>Dock Utilization % = Dock-Hours Occupied / Total Available Dock-Hours x 100.</t>
  </si>
  <si>
    <t>A3.2</t>
  </si>
  <si>
    <t>Dock Buffers</t>
  </si>
  <si>
    <t xml:space="preserve">Under 25% of docks fitted with buffers.
More than 1 dock-damage incident per week.
No penalty framework for drivers causing repeat dock damage.
Physical damage to dock structures not tracked or inspected separately from buffer coverage.</t>
  </si>
  <si>
    <t xml:space="preserve">25-50% buffer coverage.
1 dock-damage incident per week on average.
Repeat-offender drivers flagged informally but no defined penalty applied.
Physical dock-structure damage noted only when reported by staff, with no periodic inspection.</t>
  </si>
  <si>
    <t xml:space="preserve">50-75% buffer coverage.
1 dock-damage incident every 2 weeks.
A defined penalty (e.g., warning/fine) applied to drivers on a repeat incident.
Physical dock-structure damage inspected monthly and logged separately from buffer-related damage.</t>
  </si>
  <si>
    <t xml:space="preserve">75-95% buffer coverage.
Fewer than 1 dock-damage incident every 4 weeks.
A graded penalty scale (warning, fine, vendor/transporter review) enforced for repeat-offender drivers.
Periodic buffer-condition audits in place.
Physical dock-structure damage inspected weekly with defects tracked to closure.</t>
  </si>
  <si>
    <t xml:space="preserve">100% dock buffer coverage.
Zero damage incidents in the last 12 months.
Graded penalty scale for repeat-offender drivers strictly enforced with under 2% repeat-offense rate.
Preventive maintenance schedule tracked.
Zero unresolved physical dock-structure damage, verified via weekly inspection.</t>
  </si>
  <si>
    <t xml:space="preserve">• What % of docks are fitted with protective buffers?
• How many dock-damage incidents occur per week?
• Is there a defined, graded penalty framework (warning, fine, vendor/transporter review) for drivers causing repeat dock damage, and is it enforced?
• Is physical dock-structure damage (separate from buffer wear) inspected on a periodic schedule, with defects tracked to closure?</t>
  </si>
  <si>
    <t>Dock Damage Incident Rate = Dock-Damage Incidents / Week.</t>
  </si>
  <si>
    <t>A4</t>
  </si>
  <si>
    <t>Unloading (incl. Palletization)</t>
  </si>
  <si>
    <t>A4.1</t>
  </si>
  <si>
    <t>Unloading Operations &amp; Floor Management</t>
  </si>
  <si>
    <t xml:space="preserve">No defined/target unloading Service Level Agreement (SLA).
No dock-wise dedicated workforce assigned.
No defined palletisation zone (material is palletized wherever space is available, creating space constraints at the inbound gate).
No crate-stacking pattern defined (poor vertical space utilization).
Waste (e.g., vegetable trimmings) accumulates at the entry gate.
No separate lane/green-channel for reliable vendors or for dry-category inbound.
No bypass-routing flag exists for vendor pre-packed material, so pre-packed loads are routed through S&amp;G by default regardless of need.</t>
  </si>
  <si>
    <t xml:space="preserve">An unloading SLA is defined but tracked for under 30% of docks (benchmark: ~500 units/person/hour for pre-packed material or 5 pallets/person/hour or 150 crates/person/hour).
Dock-wise workforce assignment is informal.
A palletisation zone is nominally marked but frequently encroached upon.
Crate stacking has no defined Standard Operating Procedure (SOP).
Waste disposal remains near the inbound gate.
A bypass flag for vendor pre-packed material is used informally for under 30% of eligible loads.</t>
  </si>
  <si>
    <t xml:space="preserve">Unloading SLA(benchmark: ~500 units/person/hour for pre-packed material or 5 pallets/person/hour or 150 crates/person/hour) is tracked for 30-60% of docks with a dock-wise supervisor-led team.
A visibly marked palletisation zone and sorting/grading area are maintained on most days.
A crate-stacking SOP (max stack height, brick/inline pattern) is defined but followed inconsistently.
A green channel exists for some reliable vendors.
Waste disposal has been relocated away from the inbound gate.
A bypass-routing flag for vendor pre-packed material, skipping S&amp;G and routing straight to packing/staging, is applied for 30-60% of eligible loads.</t>
  </si>
  <si>
    <t xml:space="preserve">Unloading SLA is tracked for 60-90% of docks against benchmark(benchmark: ~500 units/person/hour for pre-packed material or 5 pallets/person/hour or 150 crates/person/hour), with a dock-wise supervisor-led team on every shift.
Palletisation zone, unloading area, and S&amp;G area are marked and adhered to.
Crate-stacking SOP is followed on 70-95% of pallets.
A green channel is consistently used for reliable vendors.
First-In-First-Out (FIFO) lanes for S&amp;G are marked on the floor.
Dry-category inbound, if any , has a defined separate lane.
The bypass-routing flag for vendor pre-packed material is applied for 60-90% of eligible loads, tracked as part of the load-declaration step at gate/weighment.</t>
  </si>
  <si>
    <t xml:space="preserve">Unloading SLA is tracked for over 90% of docks and consistently meets/exceeds the benchmark((benchmark: ~500 units/person/hour for pre-packed material or 5 pallets/person/hour or 150 crates/person/hour), with a dock-wise supervisor-led team at all times.
Palletisation zone, unloading area, and S&amp;G area are marked, audited, and adhered to with zero space-constraint incidents.
Crate-stacking SOP compliance exceeds 95%.
Green-channel and dry-category lanes operate with zero cross-flow incidents.
Waste is cleared from a defined point on a fixed schedule.
The bypass-routing flag for vendor pre-packed material is applied for over 90% of eligible loads with zero mis-routes, fully integrated into the load-declaration and Goods Receipt Note (GRN)-generation step.</t>
  </si>
  <si>
    <t xml:space="preserve">• Is an unloading productivity Service Level Agreement (SLA) defined and tracked by dock (benchmark ~500 units/person/hour, 5 pallets/person/hour, or 150 crates/person/hour)?
• Is there a dedicated, dock-wise supervisor-led workforce for unloading?
• Are the palletisation, unloading, and Sorting &amp; Grading (S&amp;G) zones clearly marked and free of space-constraint/encroachment incidents?
• Is a crate-stacking Standard Operating Procedure (SOP) (max height, pattern) defined and followed?
• Is waste (e.g., vegetable trimmings) cleared from the inbound gate area on a fixed schedule?
• Is a bypass-routing flag used to route vendor pre-packed material straight to packing/staging (skipping S&amp;G), and is it tracked at gate/weighment?</t>
  </si>
  <si>
    <t>4</t>
  </si>
  <si>
    <t>4. Unloading (incl. Palletization)</t>
  </si>
  <si>
    <t>Unloading Productivity = Units (or Pallets/Crates) Unloaded / Person-Hour, tracked against defined Service Level Agreement (SLA).</t>
  </si>
  <si>
    <t>A4.2</t>
  </si>
  <si>
    <t>Unloading TAT</t>
  </si>
  <si>
    <t xml:space="preserve">Unloading Turnaround Time (TAT) (dock-in to unloading-complete) exceeds 90 minutes per vehicle on average.
Unloading is frequently not initiated at all after dock-in - vehicles sit docked with no unloading action for extended periods.
No distinction is made between slow unloading and unloading never started.</t>
  </si>
  <si>
    <t xml:space="preserve">Unloading TAT averages 60-90 minutes per vehicle.
Unloading-not-initiated cases still occur but are not tracked separately from slow-unloading cases.</t>
  </si>
  <si>
    <t xml:space="preserve">Unloading TAT averages 40-60 minutes per vehicle, tracked per vehicle for the majority of dock-ins.
Unloading-not-initiated incidents are logged separately from TAT and reviewed occasionally.</t>
  </si>
  <si>
    <t xml:space="preserve">Unloading TAT averages 25-40 minutes per vehicle, tracked per vehicle and reviewed daily against the unloading Service Level Agreement (SLA).
Unloading is initiated within a defined time of dock-in for the majority of vehicles, with unloading-not-initiated incidents root-caused weekly.</t>
  </si>
  <si>
    <t xml:space="preserve">Unloading TAT is held under 25 minutes per vehicle for over 90% of dock-ins, tracked in real time and feeding the Dock-to-Stock Time Key Performance Indicator (KPI).
Unloading is initiated promptly per SLA for every dock-in, with zero unloading-not-initiated incidents.</t>
  </si>
  <si>
    <t xml:space="preserve">• What is the average Unloading Turnaround Time (TAT) (dock-in to unloading-complete), per vehicle?
• Are unloading-not-initiated incidents (vehicle docked but unloading never starts) tracked separately from slow-unloading cases?
• Is unloading TAT reviewed against a defined Service Level Agreement (SLA), and how often (occasional/weekly/daily/real-time)?
• Does unloading TAT feed the Dock-to-Stock Time Key Performance Indicator (KPI)?</t>
  </si>
  <si>
    <t>Unloading Turnaround Time (TAT) = Unloading-Complete Timestamp minus Dock-In Timestamp (minutes/vehicle); supported by Unloading-Not-Initiated Incident Rate.</t>
  </si>
  <si>
    <t>A4.3</t>
  </si>
  <si>
    <t>Weighment &amp; GRN Digitization</t>
  </si>
  <si>
    <t xml:space="preserve">Weighment data is logged manually for Goods Receipt Note (GRN)/Purchase Order (PO) creation - error-prone and slow.
Weighment occurs both upstream and downstream of S&amp;G, increasing vendor wait time and delaying PO closure.
The weighment area sits hard against the staging area with no clear aisle, creating a choke point.
Scale calibration is untracked.</t>
  </si>
  <si>
    <t xml:space="preserve">Manual logging accounts for over 70% of weighment transactions.
Weighment is still performed both pre and post-S&amp;G 
The clear aisle between weighment and staging is under 1.8m or undefined.
Scale calibration is done ad hoc with no fixed schedule.</t>
  </si>
  <si>
    <t xml:space="preserve">Digital weighment is integrated with the Warehouse Management System (WMS)/GRN system for 30-60% of transactions.
Weighment has been shifted to the only after S&amp;G,thus reducing double weighment.
A minimum 1.8m clear aisle between weighment and staging is maintained on most days.
Scales are calibrated on a defined but not strictly daily schedule.</t>
  </si>
  <si>
    <t xml:space="preserve">Digital weighment integrated with WMS/GRN covers 60-90% of transactions.
Weighment is performed at the after S&amp;G stage for the majority of vendors, except the leafies.
The 1.8m clear-aisle buffer between weighment and staging is consistently maintained.
Calibrated scales with tare memory per packaging type are recalibrated on a defined schedule (daily recommended).
Digital weight logs are retained as an audit trail.</t>
  </si>
  <si>
    <t xml:space="preserve">Over 90% of weighment transactions are digitally integrated with WMS/GRN with zero manual entry.
Weighment is performed at the unloading stage for all applicable vendors, enabling same-day PO closure.
The 1.8m clear-aisle buffer is maintained with zero choke-point incidents.
Scales are recalibrated daily with tare memory per packaging type.
The digital weight log is used as a routine audit trail for supplier invoice reconciliation and shrinkage analysis.</t>
  </si>
  <si>
    <t xml:space="preserve">• What % of weighment transactions are digitally integrated with the Warehouse Management System (WMS)/Goods Receipt Note (GRN), vs manually logged?
• Is weighment performed before or after Sorting &amp; Grading (S&amp;G), and has double weighment been eliminated?
• Is a minimum clear aisle (~1.8m) maintained between the weighment area and staging area?
• Are scales calibrated on a defined schedule (ideally daily), with tare memory set per packaging type?
• Is the digital weight log retained and used as an audit trail (e.g., invoice reconciliation, shrinkage analysis)?</t>
  </si>
  <si>
    <t>Digital Weighment Integration % = Weighment Transactions Digitally Captured into the Warehouse Management System (WMS)/Goods Receipt Note (GRN) / Total Weighment Transactions x 100.</t>
  </si>
  <si>
    <t>A5</t>
  </si>
  <si>
    <t>Sorting &amp; Grading</t>
  </si>
  <si>
    <t>A5.1</t>
  </si>
  <si>
    <t>Sorting &amp; Grading Norms</t>
  </si>
  <si>
    <t xml:space="preserve">No defined size or quality standards (blemish-free, rot-free, infestation-free) for sorting/grading.
Criteria applied on 0% of SKUs.
No S&amp;G throughput Service Level Agreement (SLA) is defined (benchmark: ~250-300 units/person/hour for general S&amp;G, 400-500 units/person/shift for leafy cutting).
Piece-category SKUs (e.g., coconut, watermelon) are staffed randomly, causing significant throughput slowdown.</t>
  </si>
  <si>
    <t xml:space="preserve">Standards defined for under 30% of SKUs.
A throughput SLA is defined but tracked for under 30% of stations, with wide variance against the ~250 units/person/hour / 400-500 units/person/shift benchmarks.
Piece-category SKUs are not assigned to experienced manpower.</t>
  </si>
  <si>
    <t xml:space="preserve">Standards defined for 30-60% of SKUs, covering blemish, rot, infestation, and size checks.
Throughput SLA (~250 units/person/hour, 400-500/shift for leafy) is tracked for 30-60% of stations.
Experienced manpower is assigned to piece-category SKUs (coconut, watermelon) only inconsistently.</t>
  </si>
  <si>
    <t xml:space="preserve">Standards defined for 60-90% of SKUs, with grading accuracy audited monthly at over 90% accuracy.
Throughput SLA is tracked for 60-90% of stations, mostly within benchmark.
Experienced manpower is consistently assigned their specialisation article ,to maximise the throughput</t>
  </si>
  <si>
    <t xml:space="preserve">Standards defined for 100% of SKUs.
Grading accuracy above 95%, audited weekly with a corrective feedback loop.
Throughput SLA is tracked for 100% of stations and consistently meets or exceeds benchmark (~250 units/person/hour, 400-500/shift leafy).
Experienced manpower is consistently assigned their specialisation article ,to maximise the throughput</t>
  </si>
  <si>
    <t xml:space="preserve">• Are defined size/quality standards (blemish-free, rot-free, infestation-free) documented, and for what % of Stock-Keeping Units (SKUs) are they applied?
• Is a Sorting &amp; Grading (S&amp;G) throughput Service Level Agreement (SLA) defined and tracked against benchmark (~250-300 units/person/hour, or 400-500 packets/person/shift for leafy items)?
• Is grading accuracy audited, at what frequency, and what accuracy % is achieved?
• Are experienced/specialized staff consistently assigned to piece-category SKUs (e.g., coconut, watermelon)?</t>
  </si>
  <si>
    <t>5</t>
  </si>
  <si>
    <t>5. Sorting &amp; Grading</t>
  </si>
  <si>
    <t>Sorting &amp; Grading Throughput = Units Sorted/Graded / Person-Hour, against defined SLA; supported by Grading Accuracy %.</t>
  </si>
  <si>
    <t>A5.2</t>
  </si>
  <si>
    <t>Manpower Planning for Processing</t>
  </si>
  <si>
    <t xml:space="preserve">No standard manpower norm for processing tables.
Occupancy varies randomly (under 2 or over 6 people per 8ft x 4ft table).
No defined ratio of S&amp;G tables to packaging tables hampering banalcing of processes - S&amp;G tables are frequently fewer than packing tables, bottlenecking downstream packaging input.
No cleaning step is enforced between vendors' S&amp;G batches, causing clutter/wastage accumulation and cross-contamination risk.</t>
  </si>
  <si>
    <t xml:space="preserve">Norm defined (4 people per 8ft x 4ft table) but followed on under 40% of tables.
An S&amp;G-to-packing table ratio is loosely followed for under 40% of shifts, with S&amp;G output frequently under-matched to packing input hampering balancing of processes
Inter-vendor S&amp;G, cleaning is ad hoc.</t>
  </si>
  <si>
    <t xml:space="preserve">4-person-per-table norm followed on 40-70% of tables.
S&amp;G-to-packing table ratio is matched to keep S&amp;G output aligned with packing input on 40-70% of shifts.
Cleaning between vendors' S&amp;G batches is performed inconsistently.</t>
  </si>
  <si>
    <t xml:space="preserve">Norm followed on 70-95% of tables, monitored via regular floor walks.
S&amp;G-to-packing table ratio and output-input matching is maintained on 70-95% of shifts, monitored via floor walks.
Cleaning after each vendor's S&amp;G batch is standard practice.</t>
  </si>
  <si>
    <t xml:space="preserve">Norm followed on over 95% of tables at all times, with real-time floor supervision preventing congestion or under-utilization.
S&amp;G-to-packing table ratio and output-input matching is maintained on over 95% of shifts with real-time supervision.
Cleaning after every vendor's S&amp;G batch is enforced with zero cross-contamination incidents.</t>
  </si>
  <si>
    <t xml:space="preserve">• Is there a defined manpower norm per processing table (e.g., 4 people per 8ft x 4ft table), and what % of tables follow it?
• Is the ratio of Sorting &amp; Grading (S&amp;G) tables to packing tables managed to keep S&amp;G output matched to packing input?
• Is a cleaning step enforced between different vendors' S&amp;G batches?
• Is table occupancy monitored via regular floor walks or real-time supervision?</t>
  </si>
  <si>
    <t>Table Occupancy Norm Adherence % = Processing Tables Staffed at Defined Headcount / Total Tables Audited x 100.</t>
  </si>
  <si>
    <t>A6</t>
  </si>
  <si>
    <t>Packing</t>
  </si>
  <si>
    <t>A6.1</t>
  </si>
  <si>
    <t>Packing Norms</t>
  </si>
  <si>
    <t xml:space="preserve">Packaging material (nets/boxes/Low-Density Polyethylene (LDPE)) not defined by Stock-Keeping Unit (SKU).
No packing method/Standard Operating Procedure (SOP) defined.
Formed boxes are stacked directly on the worktop, causing clutter.
Vendor-packed SKUs are routinely re-packed on arrival regardless of pack quality.
Chilled-category SKUs (e.g., apples, pears) are packed under ambient conditions with no dedicated chilled station.</t>
  </si>
  <si>
    <t xml:space="preserve">Packaging material defined for under 50% of SKUs.
A packing method/SOP exists informally, not documented.
A formed-box staging shelf is used on under 30% of lines.
Vendor-pack alignment to Fulfillment Center (FC) standards covers under 30% of applicable vendors.
Chilled SKUs are packed ambient on over 70% of shifts.</t>
  </si>
  <si>
    <t xml:space="preserve">Packaging material defined per SKU.
A documented packing method/SOP is followed on 30-60% of lines.
A formed-box staging shelf decongests the worktop on 30-60% of lines.
30-60% of applicable vendors pack to FC standard, removing the re-pack step.
A dedicated chilled packing station is used for 30-60% of chilled-SKU shifts.</t>
  </si>
  <si>
    <t xml:space="preserve">Packaging material and packing method/SOP are defined and followed on 60-90% of lines.
Formed-box staging shelf standard is followed on 60-90% of lines.
60-90% of applicable vendors pack to standard.
A dedicated chilled packing station is used for 60-90% of chilled-SKU shifts.</t>
  </si>
  <si>
    <t xml:space="preserve">Packaging material and packing method/SOP are defined and followed on all lines.
Formed-box staging shelf standard is followed on all lines.
Over 90% of applicable vendors pack to standard with zero re-pack sub-process.
100% of chilled SKUs are packed at a dedicated chilled station, audited monthly.</t>
  </si>
  <si>
    <t xml:space="preserve">• Is packaging material (nets/boxes/Low-Density Polyethylene (LDPE)) defined per Stock-Keeping Unit (SKU), and is a packing method/Standard Operating Procedure (SOP) documented?
• Is a formed-box staging shelf used to keep the worktop decongested?
• What % of applicable vendors pack to Fulfillment Center (FC) standard, avoiding a re-pack step on arrival?
• Is there a dedicated chilled packing station for chilled-category SKUs (e.g., apples, pears), and is it audited?</t>
  </si>
  <si>
    <t>Packaging Material &amp; Method Standardization % = SKUs with Defined Packaging Material and Packing SOP / Total SKUs x 100.</t>
  </si>
  <si>
    <t>A6.2</t>
  </si>
  <si>
    <t>Packing Productivity</t>
  </si>
  <si>
    <t xml:space="preserve">Packing productivity under 60 units/person/hour.
No shift-level Service Level Agreement (SLA) tracked against category benchmarks (net roll ~90/hr, punnet ~100/hr, Low-Density Polyethylene (LDPE) bags ~100/hr).
Leafy gang output is not tracked against the 400-500 packets/person/day benchmark.</t>
  </si>
  <si>
    <t xml:space="preserve">Productivity 60-80 units/person/hour.
Shift-level SLA is tracked for under 30% of lines against category benchmarks.
Leafy gang output is not benchmarked against the 400-500 packets/person/day target.</t>
  </si>
  <si>
    <t xml:space="preserve">Productivity at the 80-100 units/person/hour benchmark band.
Shift-level SLA is tracked for 30-60% of lines and trending toward category benchmarks.
Leafy gang output is tracked against the 400-500 packets/person/day target for some shifts.</t>
  </si>
  <si>
    <t xml:space="preserve">Productivity 100-120 units/person/hour, matching category benchmarks (net roll ~90/hr, punnet ~100/hr, LDPE bags ~100/hr).
Shift-level SLA is tracked for 60-90% of lines and mostly at benchmark.
Leafy gang output is tracked daily against the 400-500 packets/person/day target, with a 4-cutter + 6-packer gang trending toward 4,000+ packets/day.</t>
  </si>
  <si>
    <t xml:space="preserve">Productivity above 120 units/person/hour, or consistently at the top of the category benchmark.
Shift-level SLA is tracked for over 90% of lines and consistently at or above benchmark.
A 4-cutter + 6-packer leafy gang achieves 4,000+ packets/day, tracked and improved monthly.
Productivity at this level confirms packing material and method (Packing Norms) are also mature.</t>
  </si>
  <si>
    <t xml:space="preserve">• What is packing productivity (units/person/hour), and how does it compare to category benchmarks (net roll ~90/hr, punnet ~100/hr, Low-Density Polyethylene (LDPE) bags ~100/hr)?
• Is a shift-level packing Service Level Agreement (SLA) tracked, and for what % of lines?
• Is leafy-gang output tracked against the 400-500 packets/person/day benchmark (e.g., a 4-cutter + 6-packer gang achieving 4,000+ packets/day)?</t>
  </si>
  <si>
    <t>Packing Productivity = Units Packed / Person-Hour, against defined SLA.</t>
  </si>
  <si>
    <t>A6.3</t>
  </si>
  <si>
    <t>Packing Accuracy % (Units/Cases Packed Correctly)</t>
  </si>
  <si>
    <t xml:space="preserve">Packing accuracy is not tracked as a distinct metric at all - the true floor of this maturity level.
Where a number exists, packing accuracy (units/cases packed with the correct Stock-Keeping Unit (SKU), quantity, and label) runs below 96%, not tracked distinctly from piece-level packing checks.</t>
  </si>
  <si>
    <t>Packing accuracy is tracked, but only in aggregate, running at 96-97%.</t>
  </si>
  <si>
    <t>Packing accuracy runs at 97-98%, tracked per packer/shift for the majority of lines.</t>
  </si>
  <si>
    <t>Packing accuracy runs at 98-99%, tracked per packer/shift and reviewed daily.</t>
  </si>
  <si>
    <t>Packing accuracy exceeds 99%, tracked per packer/shift in real time.</t>
  </si>
  <si>
    <t xml:space="preserve">• Is packing accuracy (correct Stock-Keeping Unit (SKU), quantity, label) tracked as a distinct metric, separate from general piece-level checks?
• What is the current packing accuracy %?
• Is accuracy tracked per packer/shift, and reviewed daily or in real time?</t>
  </si>
  <si>
    <t>Packing Accuracy % = Units/Cases Packed with Correct Stock-Keeping Unit (SKU), Quantity &amp; Label / Total Units/Cases Packed x 100.</t>
  </si>
  <si>
    <t>A6.4</t>
  </si>
  <si>
    <t>Repacking Reduction Targets</t>
  </si>
  <si>
    <t xml:space="preserve">Repacking/re-stickering rate not measured.
Anecdotally exceeds 8% of units reworked.
No distinguishable avoidable rework such as re-sorting already vendor-packed bananas at the packing stage, ripeness-based segregation (e.g., mango, avocado) being performed late at the packing stage instead of at S&amp;G, or idle organic-table capacity - all of which inflate the repack rate.</t>
  </si>
  <si>
    <t xml:space="preserve">Measured but no target set.
Rate at 5-8%.
Rate is measured in aggregate without cause analysis for these specific drivers (banana re-sort, late ripeness segregation, idle organic-table capacity).</t>
  </si>
  <si>
    <t xml:space="preserve">Target set at 5% or below.
Actual performance running at 5-6%.
Cause analysis identifies banana re-sort, late ripeness segregation, and idle organic-table time as contributors, but corrective action (stopping banana re-sort, moving ripeness segregation to the S&amp;G stage, converting the organic table to multi-use) is applied inconsistently.</t>
  </si>
  <si>
    <t xml:space="preserve">Actual rate 2-5%, tracked weekly with cause anlaysis
Banana re-sort at packing is eliminated, ripeness-based segregation is performed at the S&amp;G stage, and the organic table is run as a time-clustered multi-use table on 70-95% of shifts, reflected in the weekly cause-coded repack trend.</t>
  </si>
  <si>
    <t xml:space="preserve">Rate under 2%, tracked daily, root cause eliminated at source (labeling/Quality Check (QC)), sustained for 2+ consecutive quarters.
Banana re-sort at packing is fully eliminated, ripeness-based segregation is performed at the S&amp;G stage on 100% of shifts, and the organic table is consistently run as a multi-use table in downtime, sustained for 2+ consecutive quarters as a root-cause-eliminated driver of the sub-2% repack rate.</t>
  </si>
  <si>
    <t xml:space="preserve">• Is the repacking/re-stickering rate measured, and is a numeric target set (e.g., under 5%, under 2%)?
• What is the current repack rate?
• Does cause analysis identify specific drivers such as re-sorting already vendor-packed bananas, late ripeness-based segregation (e.g., mango, avocado) at packing instead of Sorting &amp; Grading (S&amp;G), or idle organic-table capacity?
• Have corrective actions (eliminating banana re-sort, moving ripeness segregation to S&amp;G, running the organic table as multi-use) been implemented and sustained over multiple quarters?</t>
  </si>
  <si>
    <t>6</t>
  </si>
  <si>
    <t>6. Packing</t>
  </si>
  <si>
    <t>Repacking Rate % = Units Reworked / Total Units Packed x 100.</t>
  </si>
  <si>
    <t>A6.5</t>
  </si>
  <si>
    <t>Shrinkage &amp; Seasonal Loss Management</t>
  </si>
  <si>
    <t xml:space="preserve">Shrinkage not tracked by Stock-Keeping Unit (SKU) category.
Overall loss exceeds 5% with no seasonal breakup.</t>
  </si>
  <si>
    <t xml:space="preserve">Shrinkage tracked in aggregate only.
No category-specific targets (e.g., leafy items vs vegetables like brinjal).</t>
  </si>
  <si>
    <t xml:space="preserve">Shrinkage tracked by category against benchmark ranges (up to 30-35% for leafy items, 1-2% for vegetables like brinjal).
Seasonal Return to Vendor (RTV) loss tracked at a 1.5-3% band (winter to monsoon).</t>
  </si>
  <si>
    <t xml:space="preserve">Shrinkage within benchmark for over 80% of SKU categories.
Seasonal loss trend reviewed monthly with corrective action for outliers.</t>
  </si>
  <si>
    <t xml:space="preserve">Shrinkage consistently at or below benchmark for all categories.
Seasonal loss held at 1.5% or below even during monsoon.
Monthly root-cause review with documented reduction actions.</t>
  </si>
  <si>
    <t xml:space="preserve">• Is shrinkage tracked by Stock-Keeping Unit (SKU) category, rather than only in aggregate?
• What is overall shrinkage %, and how does it compare to category benchmarks (e.g., up to 30-35% for leafy items, 1-2% for vegetables like brinjal)?
• Is seasonal Return to Vendor (RTV) loss tracked separately across seasons (e.g., winter vs monsoon)?
• Is there a monthly root-cause review with documented corrective actions for outlier categories?</t>
  </si>
  <si>
    <t>Shrinkage % = Quantity Lost / Quantity Received x 100, tracked by SKU category and season.</t>
  </si>
  <si>
    <t>A7</t>
  </si>
  <si>
    <t>Staging for Picking</t>
  </si>
  <si>
    <t>A7.1</t>
  </si>
  <si>
    <t>Staging &amp; Holding Zone Management</t>
  </si>
  <si>
    <t xml:space="preserve">No defined/target Service Level Agreement (SLA) for picking and allocation (benchmark: ~600 units/person/hour).
No defined physical staging zones, leading to congestion.
Allocation and holding material share the same physical zone with no clear demarcation.
No structured stacking/arrangement method for crates.
No defined dump/reject area within the staging zone.</t>
  </si>
  <si>
    <t xml:space="preserve">Picking SLA is tracked for under 30% of shifts against the ~600 units/person/hour benchmark.
Wave Staging, Holding, and Reject/Dump zones are informally identified but frequently overlap.
Crate stacking in staging has no defined method.
A dump/reject corner exists but has no clearance routine.</t>
  </si>
  <si>
    <t xml:space="preserve">Picking SLA is tracked for 30-60% of shifts.
Wave Staging, Holding, and Reject/Dump zones are marked with reduced but still occasional overlap.
A dump/reject corner has a clearance routine that is followed inconsistently.
A maximum days-of-holding (DoH) target for held material is defined but not consistently tracked.</t>
  </si>
  <si>
    <t xml:space="preserve">Picking SLA is tracked for 60-90% of shifts and mostly at benchmark.
Wave Staging, Holding, and Reject/Dump zones are distinctly marked with no overlap on 70-95% of days.
The dump/reject corner follows a timed clearance Standard Operating Procedure (SOP).
DoH SLA for holding material is tracked and mostly met.</t>
  </si>
  <si>
    <t xml:space="preserve">Picking SLA is tracked for over 90% of shifts and consistently meets/exceeds the ~600 units/person/hour benchmark.
Wave Staging, Holding, and Reject/Dump zones are distinctly marked with zero overlap.
The dump/reject corner's timed clearance SOP is followed with zero aged-waste incidents.
DoH SLA for holding material is met on over 95% of days, reviewed as part of routine floor governance.</t>
  </si>
  <si>
    <t xml:space="preserve">• Is a picking/allocation throughput Service Level Agreement (SLA) defined and tracked against the ~600 units/person/hour benchmark?
• Are Wave Staging, Holding, and Reject/Dump zones physically demarcated with no overlap?
• Is there a structured crate-stacking/arrangement method used in the staging zone?
• Does the dump/reject corner follow a timed clearance Standard Operating Procedure (SOP)?
• Is a maximum Days-of-Holding (DoH) target defined and tracked for held material?</t>
  </si>
  <si>
    <t>7</t>
  </si>
  <si>
    <t>7. Staging for Picking</t>
  </si>
  <si>
    <t>Staging SLA Adherence = Picking/Allocation Throughput (units/person/hour) vs. benchmark; supported by Days-of-Holding (DoH) SLA compliance %.</t>
  </si>
  <si>
    <t>A8</t>
  </si>
  <si>
    <t>Picking</t>
  </si>
  <si>
    <t>A8.1</t>
  </si>
  <si>
    <t>Picking Accuracy %</t>
  </si>
  <si>
    <t>Picking accuracy runs under 95%.</t>
  </si>
  <si>
    <t>Picking accuracy runs at 95-97%.</t>
  </si>
  <si>
    <t>Picking accuracy runs at 97-98.5%, tracked per shift alongside the picking Service Level Agreement (SLA).</t>
  </si>
  <si>
    <t>Picking accuracy runs at 98.5-99.5%, with incidents root-caused weekly.</t>
  </si>
  <si>
    <t>Picking accuracy exceeds 99.5%, tracked per picker in real time and root-caused daily.</t>
  </si>
  <si>
    <t xml:space="preserve">• What is the current picking accuracy % (correctly picked lines / total lines picked)?
• Is picking accuracy tracked per shift or per picker?
• Are picking-accuracy incidents root-caused, and at what frequency (weekly/daily)?</t>
  </si>
  <si>
    <t>8</t>
  </si>
  <si>
    <t>8. Picking</t>
  </si>
  <si>
    <t>Picking Accuracy % = Correctly Picked Lines / Total Lines Picked x 100.</t>
  </si>
  <si>
    <t>A8.2</t>
  </si>
  <si>
    <t>Picking Productivity</t>
  </si>
  <si>
    <t xml:space="preserve">No picking productivity Service Level Agreement (SLA) defined.
Where observed informally, picking output is not benchmarked against the ~2,500 units/person/hour picking benchmark (a picking-specific benchmark, distinct from the loading benchmark used in Dispatch &amp; Loading).</t>
  </si>
  <si>
    <t>A picking productivity SLA is defined (benchmark: ~2,500 units/person/hour) but tracked for under 30% of shifts.</t>
  </si>
  <si>
    <t>Picking productivity SLA is tracked for 30-60% of shifts against the ~2,500 units/person/hour benchmark.</t>
  </si>
  <si>
    <t>Picking productivity SLA is tracked for 60-90% of shifts and mostly at benchmark.</t>
  </si>
  <si>
    <t>Picking productivity SLA is tracked for over 90% of shifts, tracked per picker in real time, and consistently meets/exceeds the ~2,500 units/person/hour benchmark.</t>
  </si>
  <si>
    <t xml:space="preserve">• Is a picking productivity Service Level Agreement (SLA) defined against the ~2,500 units/person/hour benchmark?
• For what % of shifts is picking productivity tracked against this benchmark?
• Is picking productivity tracked per picker in real time?</t>
  </si>
  <si>
    <t>Picking Productivity = Units Picked / Person-Hour, against the ~2,500 units/person/hour picking benchmark (distinct from the loading productivity benchmark used in Dispatch &amp; Loading).</t>
  </si>
  <si>
    <t>A8.3</t>
  </si>
  <si>
    <t>Not Found % (Picker Unable to Locate SKU)</t>
  </si>
  <si>
    <t>Not-found % exceeds 5%.</t>
  </si>
  <si>
    <t>Not-found % runs at 2-5%.</t>
  </si>
  <si>
    <t>Not-found % runs at 1-2%, tracked per shift.</t>
  </si>
  <si>
    <t>Not-found % runs at 0.5-1%, root-caused weekly.</t>
  </si>
  <si>
    <t>Not-found % is held under 0.5%, tracked per picker in real time and root-caused daily, feeding into inventory-accuracy and slotting decisions.</t>
  </si>
  <si>
    <t xml:space="preserve">• What is the current Not-Found % (lines where the picker could not locate the Stock-Keeping Unit (SKU))?
• Is Not-Found % tracked per shift or per picker?
• Are Not-Found incidents root-caused, and do they feed into inventory-accuracy or slotting decisions?</t>
  </si>
  <si>
    <t>Not-Found % = Lines Where Picker Could Not Locate SKU / Total Lines Picked x 100.</t>
  </si>
  <si>
    <t>A9</t>
  </si>
  <si>
    <t>Allocation</t>
  </si>
  <si>
    <t>A9.1</t>
  </si>
  <si>
    <t>Allocation (System vs. Physical)</t>
  </si>
  <si>
    <t>System allocation and physical allocation happen independently and out of sync, with no scanner-based Hub matching, resulting in inventory mismatches at receiving hubs.</t>
  </si>
  <si>
    <t xml:space="preserve">Scanner-based allocation is used for some dispatches, but system and physical completion are not simultaneous.
Allocation is reconciled only after complete physical allocation, with inventory mismatches at hubs still common.</t>
  </si>
  <si>
    <t>Scanner-based allocation is used for the majority of dispatches, but system and physical completion are not always simultaneous, leaving residual hub-level mismatches.</t>
  </si>
  <si>
    <t>Scanner-based allocation with simultaneous system and physical completion is standard for the majority of dispatches, reducing hub-level inventory mismatches to occasional exceptions.</t>
  </si>
  <si>
    <t xml:space="preserve">100% of allocations are scanner-based with simultaneous system and physical completion, eliminating hub-level inventory mismatches entirely.
Evaluated as a standing criterion in every facility diagnostic, not a one-off, site-specific observation.</t>
  </si>
  <si>
    <t xml:space="preserve">• Is allocation scanner-based, and for what % of dispatches?
• Do system allocation and physical allocation complete simultaneously, or is reconciliation only done after the fact?
• How frequently do inventory mismatches occur at receiving hubs as a result of allocation sync issues?</t>
  </si>
  <si>
    <t>9</t>
  </si>
  <si>
    <t>9. Allocation</t>
  </si>
  <si>
    <t>Allocation Synchronization % = Allocations Completed via Scanner with Simultaneous System &amp; Physical Match / Total Allocations x 100.</t>
  </si>
  <si>
    <t>A10</t>
  </si>
  <si>
    <t>Dispatch</t>
  </si>
  <si>
    <t>A10.1</t>
  </si>
  <si>
    <t>Dispatch &amp; Loading Operations</t>
  </si>
  <si>
    <t xml:space="preserve">No defined/target Service Level Agreement (SLA) for dispatch/loading.
No load sequencing (heavy-at-bottom, fragile-on-top, delivery-route order) is followed.
Crate/pallet counts are not reconciled against the Stock Transfer Note (STN) before the vehicle leaves.
Seal/tarpaulin/curtain closure is not verified before exit.
Reefer vehicles are loaded without any pre-cooling check.
Vehicles are loaded without a confirmed dock/bay.
Exit documentation (e-way bill, loading slip) is not verified before the vehicle exits.</t>
  </si>
  <si>
    <t xml:space="preserve">A loading SLA is defined (benchmark: ~500 units/person/hour for pre-packed material, or 5 pallets/person/hour, or 150 crates/person/hour) but tracked for under 30% of dispatches.
Load sequencing is followed informally, at the loader's discretion.
Crate/pallet count reconciliation against the STN is done for under 30% of dispatches.
Seal/tarpaulin/curtain closure is checked inconsistently.
Reefer pre-cooling is checked informally, without a defined threshold.
Dock/bay confirmation before loading is not consistently enforced.
Exit documentation is checked for under 30% of dispatches before exit.</t>
  </si>
  <si>
    <t xml:space="preserve">Loading SLA is tracked for 30-60% of dispatches against the benchmark (~500 units/person/hour, or 5 pallets/person/hour, or 150 crates/person/hour).
Load sequencing (heavy-at-bottom, fragile-on-top) is followed for the majority of loads, but route-sequence loading is inconsistent.
Crate/pallet count reconciliation against the STN covers 30-60% of dispatches.
Seal/tarpaulin/curtain closure is verified for 30-60% of dispatches.
Reefer pre-cooling is checked before loading for 30-60% of reefer dispatches.
Dock/bay confirmation before loading is followed for the majority of vehicles.
Exit documentation (e-way bill, loading slip) is verified for 30-60% of dispatches before exit.</t>
  </si>
  <si>
    <t xml:space="preserve">Loading SLA is tracked for 60-90% of dispatches and mostly at benchmark (~500 units/person/hour, or 5 pallets/person/hour, or 150 crates/person/hour).
Load sequencing, including delivery-route order, is followed for 60-90% of dispatches.
Crate/pallet count reconciliation against the STN covers 60-90% of dispatches.
Seal/tarpaulin/curtain closure is verified for 60-90% of dispatches before exit.
Reefer pre-cooling before loading is confirmed for 60-90% of reefer dispatches.
No vehicle is loaded without a confirmed dock/bay.
Exit documentation is verified for 60-90% of dispatches before exit.</t>
  </si>
  <si>
    <t xml:space="preserve">Loading SLA is tracked for over 90% of dispatches and consistently meets/exceeds the benchmark (~500 units/person/hour, or 5 pallets/person/hour, or 150 crates/person/hour).
Load sequencing (heavy-at-bottom, fragile-on-top, delivery-route order) is followed for over 90% of dispatches with zero mis-sequencing incidents.
Crate/pallet count reconciliation against the STN is completed for over 95% of dispatches before the vehicle leaves.
Seal/tarpaulin/curtain closure is verified on 100% of dispatches, logged as part of the exit record.
Reefer pre-cooling before loading is confirmed for 100% of reefer dispatches.
Zero vehicles loaded without a confirmed dock/bay.
Exit documentation (e-way bill, loading slip) is verified complete on 100% of dispatches before exit.</t>
  </si>
  <si>
    <t xml:space="preserve">• Is a loading productivity Service Level Agreement (SLA) defined and tracked against benchmark (~500 units/person/hour, 5 pallets/person/hour, or 150 crates/person/hour)?
• Is load sequencing (heavy-at-bottom, fragile-on-top, delivery-route order) followed?
• Is crate/pallet count reconciled against the Stock Transfer Note (STN) before the vehicle leaves?
• Is seal/tarpaulin/curtain closure verified before exit, and is reefer pre-cooling checked before loading?
• Is exit documentation (e-way bill, loading slip) verified complete before the vehicle exits, and is no vehicle loaded without a confirmed dock/bay?</t>
  </si>
  <si>
    <t>Loading Productivity = Units (or Pallets/Crates) Loaded / Person-Hour, against the ~500 units/person/hour (or 5 pallets/person/hour, or 150 crates/person/hour) benchmark; supported by Load-Sequencing Compliance %, STN Reconciliation %, and Exit-Documentation Completeness %.</t>
  </si>
  <si>
    <t>A10.2</t>
  </si>
  <si>
    <t>STN Ready Time (Created to Ready)</t>
  </si>
  <si>
    <t>Stock Transfer Note (STN) Ready Time exceeds 60 minutes.</t>
  </si>
  <si>
    <t>STN Ready Time runs at 40-60 minutes.</t>
  </si>
  <si>
    <t>STN Ready Time runs at 25-40 minutes.</t>
  </si>
  <si>
    <t>STN Ready Time runs at 10-25 minutes, tracked with rider/route-level breakdown.</t>
  </si>
  <si>
    <t>STN Ready Time is held under 10 minutes, tracked in real time.</t>
  </si>
  <si>
    <t xml:space="preserve">• What is the average Stock Transfer Note (STN) Ready Time (STN-created to STN-ready), in minutes?
• Is there a defined target for STN Ready Time, and is performance reviewed routinely?
• Is STN Ready Time tracked in real time, with rider/route-level breakdown?</t>
  </si>
  <si>
    <t>10</t>
  </si>
  <si>
    <t>10. Dispatch</t>
  </si>
  <si>
    <t>Shipping/Stock Transfer Note (STN) Ready Time = STN-Ready Timestamp minus STN-Created Timestamp (minutes).</t>
  </si>
  <si>
    <t>A10.3</t>
  </si>
  <si>
    <t>Outbound Vehicle Wait Time (Arrival to Exit)</t>
  </si>
  <si>
    <t>Outbound Vehicle Wait Time exceeds 60 minutes.</t>
  </si>
  <si>
    <t>Outbound Vehicle Wait Time runs at 40-60 minutes.</t>
  </si>
  <si>
    <t>Outbound Vehicle Wait Time runs at 25-40 minutes.</t>
  </si>
  <si>
    <t>Outbound Vehicle Wait Time runs at 15-25 minutes, tracked with route-level breakdown.</t>
  </si>
  <si>
    <t>Outbound Vehicle Wait Time is held under 15 minutes, tracked in real time.</t>
  </si>
  <si>
    <t xml:space="preserve">• What is the average Outbound Vehicle Wait Time (vehicle-arrival to vehicle-exit), in minutes?
• Is there a defined target for outbound wait time, and is performance reviewed routinely?
• Is Outbound Vehicle Wait Time tracked in real time, with route-level breakdown?</t>
  </si>
  <si>
    <t>Outbound Vehicle Wait Time = Vehicle-Exit Timestamp minus Vehicle-Arrival Timestamp (minutes).</t>
  </si>
  <si>
    <t>A10.4</t>
  </si>
  <si>
    <t>Dispatch SLA % (Orders Dispatched On Time)</t>
  </si>
  <si>
    <t xml:space="preserve">No scheduled dispatch/wave timings are defined at all.
Where a Dispatch Service Level Agreement (SLA) nominally exists, it runs under 70%.</t>
  </si>
  <si>
    <t xml:space="preserve">Scheduled dispatch/wave timings are defined but missed routinely.
Dispatch SLA runs at 70-80%.</t>
  </si>
  <si>
    <t>Dispatch SLA runs at 80-90%.</t>
  </si>
  <si>
    <t>Dispatch SLA runs at 90-98%, tracked with rider/route-level breakdown.</t>
  </si>
  <si>
    <t>Dispatch SLA exceeds 98%, tracked in real time across the pack-to-dispatch-to-handover chain.</t>
  </si>
  <si>
    <t xml:space="preserve">• Are scheduled dispatch/wave timings formally defined?
• What is the current Dispatch Service Level Agreement (SLA) % (orders dispatched within committed time)?
• Is Dispatch SLA tracked with rider/route-level breakdown?
• Is Dispatch SLA monitored in real time across the pack-to-dispatch-to-handover chain?</t>
  </si>
  <si>
    <t>Dispatch SLA % = Orders Dispatched Within Committed Time / Total Orders Dispatched x 100.</t>
  </si>
  <si>
    <t>A11</t>
  </si>
  <si>
    <t>Quality Management (Governance)</t>
  </si>
  <si>
    <t>A11.1</t>
  </si>
  <si>
    <t>QMS Framework</t>
  </si>
  <si>
    <t>0-2 of the 9 core Quality Management System (QMS) elements (policy, objectives, SOPs, exception handling, responsibility matrix, escalation matrix, risk analysis, complaints/feedback loop, documentation control) are documented.</t>
  </si>
  <si>
    <t xml:space="preserve">3-4 elements documented.
No formal review cycle in place.</t>
  </si>
  <si>
    <t xml:space="preserve">5-6 elements documented and in active use.
Reviewed annually.</t>
  </si>
  <si>
    <t>7-8 elements documented, tracked, and reviewed quarterly with defined ownership.</t>
  </si>
  <si>
    <t>All 9 elements fully documented, version-controlled, reviewed quarterly, and linked to a closed-loop Corrective and Preventive Action (CAPA) process with under 5-day average closure time.</t>
  </si>
  <si>
    <t xml:space="preserve">• How many of the 9 core Quality Management System (QMS) elements (policy, objectives, Standard Operating Procedures (SOPs), exception handling, responsibility matrix, escalation matrix, risk analysis, complaints/feedback loop, documentation control) are documented?
• Is there a formal review cycle for the QMS, and how often does it run?
• Are QMS documents version-controlled?
• Is there a closed-loop Corrective and Preventive Action (CAPA) process linked to the QMS?
• What is the average CAPA closure time?</t>
  </si>
  <si>
    <t>Non-Flow / Governance</t>
  </si>
  <si>
    <t>Quality Management System (QMS) Element Coverage % = Core QMS Elements Documented / 9 x 100; supported by Corrective and Preventive Action (CAPA) Average Closure Time (days).</t>
  </si>
  <si>
    <t>A11.2</t>
  </si>
  <si>
    <t>Return to Vendor Policy</t>
  </si>
  <si>
    <t xml:space="preserve">No defined Return to Vendor (RTV) policy.
Under 30% of Fruits &amp; Vegetables (FnV)/perishable, crate-based returns are closed same-day.
Bulk-commodity SKUs (onion, potato, and similar) have no defined closure window at all.
No dedicated RTV zone - pending-return material mixes with active inventory.</t>
  </si>
  <si>
    <t xml:space="preserve">Informal RTV process.
30-50% of FnV/perishable, crate-based returns close same-day.
Bulk-commodity SKUs (onion, potato, and similar) close beyond 3 days on the majority of cases.
A rough RTV holding corner exists but is not physically segregated from active inventory.</t>
  </si>
  <si>
    <t xml:space="preserve">RTV policy defined by Stock-Keeping Unit (SKU) category (FnV/perishable vs. bulk commodity).
50-75% of FnV/perishable, crate-based returns close same-day - liability for the material, and for the crates, sits with the organization until physically returned to the vendor.
Bulk-commodity SKUs (onion, potato, and similar) close within 3 days for the majority of cases.
A marked but not fully enclosed RTV zone separates pending returns from active inventory.</t>
  </si>
  <si>
    <t xml:space="preserve">RTV policy defined and tracked separately for FnV/perishable and bulk-commodity SKUs.
75-95% of FnV/perishable, crate-based returns close same-day.
Bulk-commodity SKUs (onion, potato, and similar) close within 3 days for over 90% of cases.
A dedicated, physically segregated RTV zone is maintained and reviewed weekly for aged material.</t>
  </si>
  <si>
    <t xml:space="preserve">RTV fully systemized, tracked separately by SKU category.
Over 95% of FnV/perishable, crate-based returns close same-day, with zero aged-return inventory beyond 24 hours.
Bulk-commodity SKUs (onion, potato, and similar) close within the 3-day norm for over 95% of cases.
A dedicated, physically segregated RTV zone is enforced with zero mixing with active inventory, audited as part of routine floor governance.</t>
  </si>
  <si>
    <t xml:space="preserve">• Is there a defined Return to Vendor (RTV) policy, and is it segmented by Stock-Keeping Unit (SKU) category (Fruits &amp; Vegetables (FnV)/perishable, crate-based vs. bulk commodity)?
• What % of FnV/perishable, crate-based RTV cases close same-day?
• What % of bulk-commodity SKUs (onion, potato, etc.) close within 3 days?
• Is there a dedicated, physically segregated RTV zone, or does pending-return stock mix with active inventory?
• Is aged-return inventory (beyond 24 hours) reviewed/audited as part of routine floor governance?</t>
  </si>
  <si>
    <t>Return to Vendor (RTV) Same-Day Closure % (FnV/Perishable, Crate-Based) = RTV Cases Closed Same-Day / Total FnV RTV Cases x 100; supported by RTV 3-Day Closure % for Bulk-Commodity SKUs.</t>
  </si>
  <si>
    <t>Return-to-Vendor handled same-day with only two named SKU exceptions (onion, potato), qualitatively consistent with the Level 4 band (75-95% same-day closure); no precise % given.</t>
  </si>
  <si>
    <t>C</t>
  </si>
  <si>
    <t>Same same-day RTV practice reported (exceptions: onion, potato) as Zepto and Instamart.</t>
  </si>
  <si>
    <t>Same same-day RTV practice reported (exceptions: onion, potato) as Zepto and Blinkit.</t>
  </si>
  <si>
    <t>Tied (all three)</t>
  </si>
  <si>
    <t>Benchmarking tab, 'Sorting and Grading' block, row 32 (RTV process).</t>
  </si>
  <si>
    <t>A11.3</t>
  </si>
  <si>
    <t>Customer Complaint Tracking</t>
  </si>
  <si>
    <t>0-1 of the 9 complaint-tracking metrics (Net Promoter Score (NPS), complaints % of orders, quality-complaint %, shortage/wrong-product-complaint %, refunds % of sales value, quality-refund %, shortage-refund %, Root Cause Analysis (RCA) per complaint, Corrective and Preventive Action (CAPA) with defined Turnaround Time (TAT)) are tracked.</t>
  </si>
  <si>
    <t xml:space="preserve">2-3 of the 9 metrics tracked, typically limited to a raw complaint count or complaint % of orders.
No RCA or CAPA discipline in place.</t>
  </si>
  <si>
    <t xml:space="preserve">4-6 of the 9 metrics tracked, including NPS and the complaint/refund % splits.
RCA is performed for some complaints.
CAPA has no defined TAT.</t>
  </si>
  <si>
    <t xml:space="preserve">7-8 of the 9 metrics tracked and reported monthly.
RCA is performed for the majority of complaints.
CAPA TAT is defined but not consistently met.</t>
  </si>
  <si>
    <t xml:space="preserve">All 9 metrics tracked and reported: NPS (positive feedback calls / total calls picked), complaints % of orders, quality-complaint %, shortage/wrong-product-complaint %, refunds % of sales value, quality-refund %, and shortage-refund %.
RCA is completed for every complaint.
CAPA with a defined TAT is tracked to closure for every complaint, closed-loop.</t>
  </si>
  <si>
    <t xml:space="preserve">• How many of the 9 complaint-tracking metrics (Net Promoter Score (NPS), complaints % of orders, quality-complaint %, shortage/wrong-product-complaint %, refunds % of sales value, quality-refund %, shortage-refund %, Root Cause Analysis (RCA) per complaint, Corrective and Preventive Action (CAPA) with defined Turnaround Time (TAT)) are actively tracked and reported?
• Is RCA performed for every complaint, or only some?
• Is a CAPA TAT defined, and is it consistently met?
• How frequently are these metrics reported - monthly or less often?</t>
  </si>
  <si>
    <t>Net Promoter Score (NPS) = Positive Feedback Calls / Total Calls Picked x 100; supported by Complaint % of Orders, Quality-Complaint %, Shortage/Wrong-Product-Complaint %, Refund % of Sales Value (overall, quality-driven, shortage-driven), Root Cause Analysis (RCA) Coverage %, and Corrective and Preventive Action (CAPA) Closure-Within-TAT %.</t>
  </si>
  <si>
    <t>Complaint rate reported at 1.5% (no return, only refund), within the Level 4 band (1-2%); root-cause/closed-loop process detail not confirmed.</t>
  </si>
  <si>
    <t>Complaint rate reported at ~1% (no return, only refund), at the Level 4/Level 5 boundary; not confirmed as consistently 'under 1%' so scored conservatively at Level 4.</t>
  </si>
  <si>
    <t>Zepto &amp; Blinkit (tied)</t>
  </si>
  <si>
    <t>Benchmarking tab, 'Quality' block, row 38 (Customer complaints).</t>
  </si>
  <si>
    <t>A11.4</t>
  </si>
  <si>
    <t>Safety / Near-Miss Incidents</t>
  </si>
  <si>
    <t xml:space="preserve">Near-miss/safety incidents are not logged at all, or exceed 5 per week where informally counted.
No defined emergency assembly/muster point.
Fire-extinguisher locations are not mapped or signed.
Closed-toe/safety footwear is not enforced for floor staff or executives.</t>
  </si>
  <si>
    <t xml:space="preserve">3-5 near-miss/safety incidents occur per week, logged reactively (typically only after a reportable injury).
An assembly point exists but is not signed or known to most staff.
Fire-extinguisher locations are signed in a few areas only.
Safety-footwear compliance is checked informally, on under 30% of floor staff.</t>
  </si>
  <si>
    <t xml:space="preserve">1-3 near-miss/safety incidents occur per week, logged daily but reviewed only monthly with no corrective-action tracking.
An emergency assembly/muster point is defined and signed, known to the majority of staff.
Fire-extinguisher locations are mapped and signed for 30-60% of required points.
Closed-toe/safety footwear compliance is checked for 30-60% of floor staff and executives.</t>
  </si>
  <si>
    <t xml:space="preserve">Under 1 near-miss/safety incident per week, logged and reviewed daily with corrective actions tracked to closure for the majority of incidents.
The emergency assembly/muster point is defined, signed, and drilled at least annually.
Fire-extinguisher locations are mapped and signed for 60-90% of required points.
Safety-footwear compliance is checked for 60-90% of floor staff and executives, including during floor walks.</t>
  </si>
  <si>
    <t xml:space="preserve">Zero reportable safety incidents and under 1 near-miss per month, logged and reviewed daily with corrective actions closed within a defined Service Level Agreement (SLA).
The emergency assembly/muster point is defined, signed, known to 100% of staff, and drilled at least twice a year.
Fire-extinguisher locations are mapped and signed at 100% of required points.
Closed-toe/safety footwear compliance is enforced for 100% of floor staff and executives, checked daily.</t>
  </si>
  <si>
    <t xml:space="preserve">• Are near-miss/safety incidents logged, and how many occur per week or month?
• Is there a defined, signed emergency assembly/muster point, and how often is it drilled?
• What % of required points have fire-extinguisher locations mapped and signed?
• What % of floor staff and executives are checked for closed-toe/safety-footwear compliance?
• Are corrective actions from incidents tracked to closure, and within what Service Level Agreement (SLA)?</t>
  </si>
  <si>
    <t>Safety Incident Rate = Reportable Incidents + Near-Misses / Month; supported by Emergency Preparedness Coverage % (Muster Point, Fire-Extinguisher Signage) and Safety-Footwear Compliance %.</t>
  </si>
  <si>
    <t>A11.5</t>
  </si>
  <si>
    <t>Chiller/Freezer Temperature Compliance %</t>
  </si>
  <si>
    <t xml:space="preserve">Ongoing chiller/freezer temperature compliance (beyond the inbound gate check in A1.2) is not monitored, or runs under 70% where spot-checked.
No Internet of Things (IoT) alerting on door-left-open events or temperature breaches.
Temperature logs, where kept, are manual/paper.
No defined door-open-duration threshold - doors are left open indefinitely without being flagged.
No auto-closing doors.
Blower air-circulation is not checked.
First-Expired-First-Out/First-In-First-Out (FEFO/FIFO) discipline is not followed inside cold storage.
No dedicated ante-room for pre-dispatch allocation.</t>
  </si>
  <si>
    <t xml:space="preserve">Compliance runs at 70-85%, based on a few manual spot-checks a day.
No IoT alerting - breaches are noticed only on the next manual round.
Logs are manual/paper for the majority of zones.
A door-open threshold is informally understood, not enforced or documented.
Doors are manually operated with no auto-close.
Blower air-circulation is checked only when a complaint arises.
FEFO/FIFO is followed inconsistently.
No dedicated ante-room.</t>
  </si>
  <si>
    <t xml:space="preserve">Compliance runs at 85-95%, logged daily via manual readings for the main cold zones.
An IoT alert system covers door-open and temperature-breach events for under 50% of zones, without automatic stakeholder messaging.
Digital logs are used for 30-60% of zones, the rest remain paper-based.
A defined door-open threshold (30 seconds to 1 minute) is documented but inconsistently enforced.
Auto-closing doors are installed in some zones.
Blower air-circulation is checked monthly.
FEFO/FIFO is followed for the majority of cold-storage SKUs.
A shared, undedicated space is used for pre-dispatch allocation.</t>
  </si>
  <si>
    <t xml:space="preserve">Compliance runs at 95-98%, logged continuously via sensors for the majority of cold-chain zones with daily breach review.
IoT alerts on door-open and temperature-breach events, with automatic messaging to stakeholders, cover 60-90% of zones.
Digital temperature logs cover 60-90% of zones.
The 30-second-to-1-minute door-open threshold is enforced for 60-90% of doors.
Auto-closing doors (openable from inside for staff safety) cover the majority of cold zones.
Blower air-circulation is verified weekly.
FEFO/FIFO is enforced for the majority of cold-storage SKUs.
A dedicated ante-room is used for pre-dispatch allocation on most shifts.</t>
  </si>
  <si>
    <t xml:space="preserve">Compliance exceeds 98%, monitored continuously via sensors across 100% of cold-chain zones with real-time breach alerts.
IoT alerts on door-open and temperature-breach events, with automatic messaging to relevant stakeholders, cover 100% of zones.
Digital temperature logs are used across 100% of zones with zero manual/paper logging.
The 30-second-to-1-minute door-open threshold is enforced with zero exceptions, logged as a violation whenever breached.
Auto-closing doors (openable from inside for staff safety) are fitted across all cold zones.
Blower air-circulation is verified as unobstructed on every audit.
FEFO/FIFO discipline is enforced with zero violations.
A dedicated ante-room is used for 100% of pre-dispatch frozen/chilled allocation, limiting temperature-integrity loss.</t>
  </si>
  <si>
    <t xml:space="preserve">• What % of chiller/freezer temperature readings are within the compliant range, and is this monitored via manual spot-checks or continuous sensors?
• Is there Internet of Things (IoT) alerting on door-open and temperature-breach events, and what % of zones does it cover?
• What % of zones use digital temperature logs vs. paper?
• Is a door-open-duration threshold defined and enforced, and are auto-closing doors installed?
• How often is blower air-circulation checked?
• Is First-Expired-First-Out/First-In-First-Out (FEFO/FIFO) discipline followed in cold storage, and is there a dedicated ante-room for pre-dispatch allocation?</t>
  </si>
  <si>
    <t>Temperature Compliance % = Readings Within Defined Range / Total Readings x 100; supported by Internet of Things (IoT) Door-Open/Breach Alert Coverage %, Digital Log Coverage %, and FEFO/FIFO Compliance % in Cold Storage.</t>
  </si>
  <si>
    <t>A11.6</t>
  </si>
  <si>
    <t>Inbound Quality Check Norms</t>
  </si>
  <si>
    <t xml:space="preserve">No defined sampling percentage or rejection threshold.
Inspection is ad hoc, covering under 5% of inbound lots.
Goods Receipt Note (GRN) is raised and approved with no dependency on a quality-check procedure or quality-team clearance.
Acceptance/rejection relies purely on visual inspection.
No structured Arrival Quality Report (AQR) or fixed cutoff is defined before unloading begins.
Quality Check (QC)/vehicle rejection rates are not tracked by vendor or Stock-Keeping Unit (SKU).</t>
  </si>
  <si>
    <t xml:space="preserve">Sampling done on 5-10% of lots.
Rejection threshold is undefined or inconsistently applied.
GRN approval nominally requires quality-team sign-off, but sign-off often comes after goods are already put away.
A written AQR format exists, but fixed sampling/defect cutoffs are not consistently applied before unloading starts.
Rejection data is recorded but not segmented by vendor or SKU.</t>
  </si>
  <si>
    <t xml:space="preserve">Sampling fixed at approximately 10% of received quantity.
Rejection threshold set at 20% defect rate for full-lot rejection, not segmented by SKU/category.
GRN approval is procedurally linked to quality-team clearance, but clearance is manual/paper-based, not a system hold.
A defined AQR (10% sampling, reject lot if defect &gt;20%) is used for the majority of lots, completed before unloading begins.
QC reject % and vehicle rejection % are tracked in aggregate, not yet split by vendor/SKU for a supplier scorecard.</t>
  </si>
  <si>
    <t xml:space="preserve">10% sampling and 20% rejection threshold applied, segmented by category (FnV vs dry).
Batch/expiry and 70-80% shelf-life checks are enforced.
GRN cannot be posted until the quality team records clearance against the defined inspection procedure.
AQR with fixed sampling/defect cutoffs is completed before unloading starts for 85-95% of lots.
QC reject % and vehicle rejection % are tracked by vendor and SKU, feeding a periodic supplier scorecard.</t>
  </si>
  <si>
    <t xml:space="preserve">Sampling and rejection norms (10%/20%) are defined per SKU category, digitally logged, with under 2% inspection-error rate.
Monthly trend analysis is done on rejection causes.
GRN approval is system-enforced with zero exceptions, released only on digital quality-team clearance, with a full audit trail of inspector sign-off.
AQR is completed before unloading begins for over 95% of lots with zero exceptions.
QC reject % and vehicle rejection % by vendor and SKU are tracked in real time, driving an automated supplier scorecard used in vendor review.</t>
  </si>
  <si>
    <t xml:space="preserve">• What % of inbound lots are sampled for quality check, and is a rejection threshold defined (e.g., 10% sampling / 20% rejection)?
• Is Goods Receipt Note (GRN) approval system-enforced to require quality-team clearance, or can goods be put away before sign-off?
• Is a structured Arrival Quality Report (AQR) completed before unloading begins, and for what % of lots?
• Are Quality Check (QC) reject % and vehicle rejection % tracked by vendor and Stock-Keeping Unit (SKU), feeding a supplier scorecard?
• Is there a defined inspection-error rate or monthly trend analysis on rejection causes?</t>
  </si>
  <si>
    <t>Inbound Quality Check (QC) Coverage % = Lots Sampled Against Defined Norm / Total Lots Received x 100; supported by QC Reject % by Vendor/SKU.</t>
  </si>
  <si>
    <t>10% sampling mandate with a &gt;25% rejection threshold, but explicitly 'not done for all vehicles' - a defined rule inconsistently enforced, matching Level 3 rather than the system-enforced Level 4-5 bands.</t>
  </si>
  <si>
    <t>B</t>
  </si>
  <si>
    <t>10% sampling with a &gt;20% rejection threshold, also explicitly 'not done for all vehicles' - same inconsistent-enforcement pattern as Zepto.</t>
  </si>
  <si>
    <t>Tied (Zepto &amp; Blinkit)</t>
  </si>
  <si>
    <t>Benchmarking tab, 'Inbound'/'Quality' blocks, rows 22-23 and 33.</t>
  </si>
  <si>
    <t>A11.7</t>
  </si>
  <si>
    <t>5S Implementation</t>
  </si>
  <si>
    <t xml:space="preserve">No formal 5S audit.
Audit score under 40% where measured at all.
No physical demarcation of aisles, S&amp;G/packing areas, storage space, buffer-pallet staging, packaging-material storage, or tools/machinery locations - floor markings, if any, are inconsistent or absent.
No designated area/zone name signage, fire extinguisher position signage, or fire exit signage is installed anywhere in the facility.</t>
  </si>
  <si>
    <t xml:space="preserve">5S introduced in a pilot area only.
Audit score 40-55%.
Floor marking/demarcation done for under 30% of the required zones (aisles, S&amp;G/packing spaces, storage, buffer-pallet staging, packaging material, tools/machinery), and only in the pilot area.
Signage exists for a few zones and fire extinguisher points only, limited to the pilot area; fire exits are marked but not consistently visible or illuminated.</t>
  </si>
  <si>
    <t xml:space="preserve">Sort/Set/Shine implemented facility-wide.
Audit score 55-70%.
Audits conducted quarterly.
Demarcation in place for 30-60% of required zones - e.g., aisles and storage racking are marked, but S&amp;G/packing space, buffer-pallet staging, packaging-material, and tools/machinery locations are only partially marked.
Designated area signage and fire extinguisher position signage are installed for 30-60% of required zones/points; fire exits are signed and illuminated for the main escape routes only.</t>
  </si>
  <si>
    <t xml:space="preserve">Standardized across all zones with monthly audits.
Score 70-85%.
Training conducted at least twice a year.
Demarcation covers 60-90% of required zones, including aisles, S&amp;G and packing space boundaries, storage space marking, buffer-pallet staging area, and packaging-material storage, with tools/machinery locations marked but not yet audited on a fixed schedule.
Area signage, fire extinguisher signage, and fire exit signage cover 60-90% of required zones/points/routes, checked alongside the periodic 5S review.</t>
  </si>
  <si>
    <t xml:space="preserve">5S sustained for over 12 months.
Audit score above 85%.
Daily checks, biannual training, and a documented continuous-improvement (Kaizen) count.
100% of zones demarcated and colour-coded - aisles, S&amp;G and packing spaces, storage space, buffer-pallet staging, packaging-material storage, and tools/machinery locations - with demarcation adherence audited as part of the daily 5S check.
100% of zones carry designated area signage, every fire extinguisher position is signed, and all fire exits/escape routes are signed, illuminated, and unobstructed - verified as part of the daily 5S and safety audit.</t>
  </si>
  <si>
    <t xml:space="preserve">• What is the current 5S audit score, and how often are audits conducted?
• What % of required zones (aisles, sorting &amp; grading/packing areas, storage, buffer-pallet staging, packaging-material storage, tools/machinery) are physically demarcated and colour-coded?
• What % of required points/zones carry designated-area, fire-extinguisher, and fire-exit signage?
• How often is 5S training conducted, and is there a documented continuous-improvement (Kaizen) count?
• Has 5S been sustained facility-wide for over 12 months, or is it confined to a pilot area?</t>
  </si>
  <si>
    <t>5S Audit Score % = Audit Checklist Points Achieved / Total Checklist Points x 100, tracked monthly alongside incident rate in audited zones.</t>
  </si>
  <si>
    <t>A11.8</t>
  </si>
  <si>
    <t>Lean Principles Implementation</t>
  </si>
  <si>
    <t xml:space="preserve">0-1 of the 5 lean principles (value definition, value stream mapping, flow, pull, continuous improvement) deployed.
No Plan-Do-Check-Act (PDCA) or waste tracking.
Example: crates batched and queued at dock for hours, no flow attempted.</t>
  </si>
  <si>
    <t xml:space="preserve">2 principles deployed (e.g., value stream mapping started).
PDCA used in under 20% of processes.
Example: value stream map drawn once for inbound dock, never revisited.</t>
  </si>
  <si>
    <t xml:space="preserve">3 principles deployed.
PDCA embedded in 20-50% of processes.
2-3 of the 8 waste types tracked.
Example: single-piece flow piloted on one packing line, not yet scaled.</t>
  </si>
  <si>
    <t xml:space="preserve">4 principles deployed with pull/Just-In-Time (JIT) replenishment active.
PDCA in 50-80% of processes.
5-6 of the 8 waste types tracked with quarterly reduction targets.
Example: bin hits reorder point, picker restocks on pull signal, no forecast push.</t>
  </si>
  <si>
    <t xml:space="preserve">All 5 principles fully embedded.
PDCA in over 80% of processes.
All 8 waste types tracked with measurable year-on-year reduction of over 10%.
Example: single-piece flow standard on packing line, one crate moves at a time, no batching.</t>
  </si>
  <si>
    <t xml:space="preserve">• How many of the 5 lean principles (value definition, value stream mapping, flow, pull, continuous improvement) are actively deployed?
• What % of processes have a Plan-Do-Check-Act (PDCA) cycle embedded?
• How many of the 8 lean waste types are tracked, with a measurable year-on-year reduction target?
• Is pull-based/Just-In-Time (JIT) replenishment active (e.g., bin hits reorder point, picker restocks on signal), or is work still forecast-push and batched?</t>
  </si>
  <si>
    <t>Waste Reduction % = Year-on-Year Reduction Across the 8 Lean Waste Types; supported by Plan-Do-Check-Act (PDCA) Cycle Coverage % of Processes.</t>
  </si>
  <si>
    <t>A11.9</t>
  </si>
  <si>
    <t>Ethylene-Sensitive/Releasing Product Segregation</t>
  </si>
  <si>
    <t xml:space="preserve">No SKU-level classification into ethylene-releasing vs ethylene-sensitive categories.
Releasing SKUs (apples, bananas, tomatoes) stored alongside sensitive SKUs (leafy greens, cucumbers) with no awareness.
No dedicated zoning or minimum separation defined.
Ethylene-driven spoilage not tracked, misattributed to general quality loss.</t>
  </si>
  <si>
    <t xml:space="preserve">Ethylene classification documented for some SKUs, coverage incomplete.
No physical enforcement, releasing and sensitive SKUs commingled in same zone.
No minimum separation distance defined.
Spoilage not attributed to ethylene exposure.</t>
  </si>
  <si>
    <t xml:space="preserve">Full SKU-level classification into releasing vs sensitive categories.
Informal separation attempted, no dedicated zoning, occasional commingling during peak inbound.
Minimum separation distance defined but inconsistently followed.
Ethylene-attributable spoilage flagged qualitatively, not measured.</t>
  </si>
  <si>
    <t xml:space="preserve">Full SKU-level classification maintained, updated as new SKUs onboard.
Dedicated zones assigned for releasing vs sensitive produce, minimum separation enforced.
Occasional commingling during space-constrained peak periods.
Ethylene-attributable spoilage tracked but not yet a formal KPI.</t>
  </si>
  <si>
    <t xml:space="preserve">Full SKU-level classification, releasing vs sensitive, updated real-time with SKU master.
Physically segregated zones with defined minimum separation, zero commingling incidents.
Zoning enforced through system-directed putaway, no manual override.
Ethylene-cross-contamination spoilage tracked monthly, near-zero.</t>
  </si>
  <si>
    <t xml:space="preserve">• Are Stock-Keeping Units (SKUs) classified as ethylene-releasing (e.g., apples, bananas, tomatoes) vs. ethylene-sensitive (e.g., leafy greens, cucumbers), and is this classification complete and kept current?
• Are releasing and sensitive SKUs physically segregated into dedicated zones with a defined minimum separation distance, or do they commingle?
• How many commingling incidents occur, particularly during peak inbound?
• Is ethylene-attributable spoilage tracked as a distinct, measured metric, or lumped into general quality loss?
• Is zoning enforced through system-directed putaway, or is manual override possible?</t>
  </si>
  <si>
    <t>Ethylene Cross-Contamination Spoilage % = Quality-Loss Units Attributable to Ethylene Exposure / Total Sensitive-SKU Units Stored x 100; supported by SKU Classification Coverage % and Commingling Incident Count.</t>
  </si>
  <si>
    <t>A11.10</t>
  </si>
  <si>
    <t>Shortage, Loss Prevention (SLP) &amp; Theft Management</t>
  </si>
  <si>
    <t xml:space="preserve">No dedicated Shortage &amp; Loss Prevention (SLP) function or role.
Theft and loss cases not tracked separately from general shrinkage.
No case logging, investigation, or closure process.
No Closed-Circuit Television (CCTV) or access-control used for loss deterrence.</t>
  </si>
  <si>
    <t xml:space="preserve">SLP responsibility informally assigned to warehouse manager, no dedicated team.
Some theft/loss cases logged, but inconsistently and without investigation.
No defined case-closure process, cases often left open indefinitely.
CCTV installed in under half of high-risk zones, rarely reviewed.</t>
  </si>
  <si>
    <t xml:space="preserve">Dedicated SLP role exists (part-time or shared), reporting line unclear.
Majority of flagged cases logged and investigated, closure process defined but manual.
CCTV covers high-risk zones (dock, storage, packing), reviewed only after incidents.
Theft/loss rate tracked, trend not yet established.</t>
  </si>
  <si>
    <t xml:space="preserve">Dedicated SLP function with defined charter and reporting line.
Over 80% of flagged cases investigated and closed with documented outcome.
CCTV plus access-control at all high-risk zones, proactively monitored.
Theft/loss rate tracked monthly, early signs of a declining trend.</t>
  </si>
  <si>
    <t xml:space="preserve">Dedicated SLP team with clear mandate, embedded in warehouse governance.
100% of flagged cases investigated and closed with documented outcome.
CCTV and access-control across all zones, used proactively for deterrence and investigation.
Theft/loss rate tracked monthly with a sustained declining trend.</t>
  </si>
  <si>
    <t xml:space="preserve">• Is there a dedicated Shortage &amp; Loss Prevention (SLP) function or role, and what is its reporting line?
• What % of flagged theft/loss cases are logged, investigated, and closed with a documented outcome?
• Does Closed-Circuit Television (CCTV) and access-control cover all high-risk zones (dock, storage, packing)?
• Is CCTV footage reviewed proactively, or only after an incident occurs?
• Is the theft/loss rate tracked monthly, and is there a declining trend?</t>
  </si>
  <si>
    <t>Theft/Loss Rate % = Value of Confirmed Theft &amp; Loss Cases / Total Inventory Value Handled x 100; supported by Case Closure % = Cases Closed with Documented Outcome / Total Flagged Cases x 100.</t>
  </si>
  <si>
    <t>A12</t>
  </si>
  <si>
    <t>Process Design &amp; Governance</t>
  </si>
  <si>
    <t>A12.1</t>
  </si>
  <si>
    <t>Process Architecture, Definition &amp; Flow Mapping</t>
  </si>
  <si>
    <t xml:space="preserve">No defined process architecture for the end-to-end material and information flow.
Under 30% of individual processes have a documented flow diagram or defined steps.</t>
  </si>
  <si>
    <t xml:space="preserve">A process architecture is sketched informally, not documented or shared.
30-50% of individual processes have a documented flow diagram/steps.</t>
  </si>
  <si>
    <t xml:space="preserve">A defined process architecture exists, covering the major material and information flows.
50-75% of individual processes have documented flow diagrams/steps, reviewed annually.</t>
  </si>
  <si>
    <t xml:space="preserve">Process architecture is documented and version-controlled, covering the full material and information flow.
75-95% of individual processes have documented flow diagrams/steps, reviewed twice a year.</t>
  </si>
  <si>
    <t xml:space="preserve">Process architecture is fully documented, version-controlled, and used as the reference model for onboarding and audits.
Over 95% of individual processes have documented flow diagrams/steps, reviewed quarterly with zero undocumented recurring processes.</t>
  </si>
  <si>
    <t xml:space="preserve">• Is there a documented process architecture covering the end-to-end material and information flow, and is it version-controlled?
• What % of individual processes have a documented flow diagram or defined steps?
• How often is the process architecture/flow documentation reviewed?
• Is the process architecture used as a reference model for onboarding and audits?</t>
  </si>
  <si>
    <t>Process Flow Documentation Coverage % = Individual Processes with Documented Flow Diagram/Steps / Total Processes in the Process Landscape x 100.</t>
  </si>
  <si>
    <t>A12.2</t>
  </si>
  <si>
    <t>Process Ownership &amp; Responsibility Matrix</t>
  </si>
  <si>
    <t xml:space="preserve">No defined ownership matrix for process steps.
Under 30% of processes have a named owner.</t>
  </si>
  <si>
    <t>Ownership is assigned informally, undocumented, for 30-50% of processes.</t>
  </si>
  <si>
    <t>A Responsible/Accountable/Consulted/Informed (RACI)-style ownership matrix is documented for 50-75% of processes, reviewed annually.</t>
  </si>
  <si>
    <t>A RACI-style ownership matrix is documented and version-controlled for 75-95% of processes, reviewed twice a year with defined escalation owners.</t>
  </si>
  <si>
    <t>A RACI-style ownership matrix covers over 95% of processes, version-controlled, reviewed quarterly, with zero processes lacking a named owner.</t>
  </si>
  <si>
    <t xml:space="preserve">• What % of process steps have a named, documented owner?
• Is there a Responsible/Accountable/Consulted/Informed (RACI)-style ownership matrix, and is it version-controlled?
• How often is the ownership matrix reviewed?
• Are escalation owners defined within the matrix?</t>
  </si>
  <si>
    <t>Process Ownership Coverage % = Processes with a Documented Responsible/Accountable/Consulted/Informed (RACI) Owner / Total Processes x 100.</t>
  </si>
  <si>
    <t>A12.3</t>
  </si>
  <si>
    <t>Exception Flow &amp; Approval Matrix</t>
  </si>
  <si>
    <t xml:space="preserve">Under 30% of standard and exception scenarios are documented in Standard Operating Procedures (SOPs).
No approval matrix exists for exception/deviation handling.</t>
  </si>
  <si>
    <t xml:space="preserve">30-50% of scenarios documented.
Exception flows are largely undocumented.
Exception approvals are handled ad hoc, without a defined approval level.</t>
  </si>
  <si>
    <t xml:space="preserve">50-75% of scenarios documented, including major exception scenarios.
An approval matrix (who can approve what exception, at what level) is defined but covers under 50% of exception scenarios.</t>
  </si>
  <si>
    <t xml:space="preserve">75-95% of scenarios documented and version-controlled, reviewed twice a year.
The exception approval matrix covers 50-90% of exception scenarios with a documented approval path.</t>
  </si>
  <si>
    <t xml:space="preserve">Over 95% of standard and exception scenarios are documented, digitized, and reviewed quarterly, with zero undocumented recurring exceptions.
The exception approval matrix covers over 90% of exception scenarios, each with a documented, enforced approval path.</t>
  </si>
  <si>
    <t xml:space="preserve">• What % of standard and exception scenarios are documented in Standard Operating Procedures (SOPs)?
• Is there a defined approval matrix specifying who can approve which exception, at what level?
• What % of exception scenarios have a documented, enforced approval path?
• How often is the exception/approval documentation reviewed, and is it digitized?</t>
  </si>
  <si>
    <t>Exception Approval Matrix Coverage % = Exception Scenarios with a Documented Approval Path / Total Exception Scenarios Identified x 100; supported by SOP Documentation Coverage % (Standard + Exception).</t>
  </si>
  <si>
    <t>A12.4</t>
  </si>
  <si>
    <t>Scan-Based Traceability Depth</t>
  </si>
  <si>
    <t xml:space="preserve">No defined mandatory scan points across the material journey.
Where scans exist, they are skippable, and traceability cannot be reconstructed end-to-end.</t>
  </si>
  <si>
    <t xml:space="preserve">Mandatory scan points are defined for under 30% of the required journey stages.
Scans can be bypassed, leaving traceability gaps.</t>
  </si>
  <si>
    <t xml:space="preserve">Mandatory scan points are defined for 30-60% of the required journey stages, covering the major handover points.
Scans are enforced (non-skippable) for under 60% of defined points.</t>
  </si>
  <si>
    <t xml:space="preserve">Mandatory scan points are defined for 60-90% of the required journey stages, rationalized to the fewest points that still preserve full traceability.
Scans are enforced (non-skippable) for 60-95% of defined points.</t>
  </si>
  <si>
    <t xml:space="preserve">Mandatory scan points cover over 90% of required journey stages, rationalized to the minimum set that still delivers complete end-to-end traceability.
Every defined scan point is enforced (non-skippable), with zero traceability gaps.</t>
  </si>
  <si>
    <t xml:space="preserve">• Are mandatory scan points defined across the material journey, and what % of required journey stages do they cover?
• What % of defined scan points are enforced as non-skippable?
• Can end-to-end traceability be reconstructed from scan data, or are there gaps?
• Are scan points rationalized to the minimum set that still preserves full traceability?</t>
  </si>
  <si>
    <t>Scan-Point Enforcement % = Mandatory Scan Points Enforced as Non-Skippable / Total Defined Scan Points x 100; supported by Scan-Point Coverage % of Required Journey Stages.</t>
  </si>
  <si>
    <t>A13</t>
  </si>
  <si>
    <t>Planning (Demand, Inventory, Capacity)</t>
  </si>
  <si>
    <t>A13.1</t>
  </si>
  <si>
    <t>Demand Planning</t>
  </si>
  <si>
    <t xml:space="preserve">0-1 of the 5 demand-planning layers (baseline/historical, seasonal &amp; festive, event-based/sales, time-of-day, area/hyperlocal behavior) in use.
Forecast accuracy under 60%.
Hourly-volatility and Stock-Keeping Unit (SKU)-level inaccuracy are not analyzed, and new-store locations run on no meaningful demand data (pure guesswork).</t>
  </si>
  <si>
    <t xml:space="preserve">2 layers active.
Forecast accuracy 60-75%.
Hourly volatility and hyperlocal (area-level) variation are acknowledged but not modeled.
New stores use a flat citywide/category average with no ramp-up curve.</t>
  </si>
  <si>
    <t xml:space="preserve">3 layers active (e.g., baseline + seasonal/festive + event-based).
Forecast accuracy 75-85%.
Time-of-day demand curves are tracked for under 50% of SKUs/stores.
Hyperlocal (area-behavior) variation is factored in for high-volume stores only.
New stores follow a defined but generic ramp-up curve.</t>
  </si>
  <si>
    <t xml:space="preserve">4 of the 5 layers active (typically missing time-of-day or area-behavior).
Forecast accuracy 85-95%.
Time-of-day and hyperlocal demand patterns are modeled for 70-90% of stores.
SKU-level forecast error is tracked and root-caused monthly.
New-store data gaps are bridged with a comparable-store proxy model for the first 4-6 weeks.</t>
  </si>
  <si>
    <t xml:space="preserve">All 5 layers active and continuously calibrated against actuals (baseline, seasonal/festive, event-based, time-of-day, hyperlocal/area-behavior).
Forecast accuracy above 95%, directly driving the fill-rate Key Performance Indicator (KPI).
Hourly volatility and SKU-level accuracy are tracked in real time with automated recalibration.
New-store demand gaps are closed within 2-4 weeks via a proxy-to-actual transition model.</t>
  </si>
  <si>
    <t xml:space="preserve">• How many of the 5 demand-planning layers (baseline/historical, seasonal &amp; festive, event-based/sales, time-of-day, area/hyperlocal behavior) are actively used?
• What is the current forecast accuracy %, and does it directly drive the fill-rate Key Performance Indicator (KPI)?
• Is hourly-volatility and Stock-Keeping Unit (SKU)-level forecast error tracked and root-caused?
• How are new-store demand gaps bridged - flat citywide average, generic ramp-up curve, or a comparable-store proxy model?</t>
  </si>
  <si>
    <t>Forecast Accuracy % = 1 - (|Forecast - Actual Demand| / Actual Demand) x 100.</t>
  </si>
  <si>
    <t>A13.2</t>
  </si>
  <si>
    <t>Inventory Planning</t>
  </si>
  <si>
    <t xml:space="preserve">0-1 of the 5 inventory-planning components (regular+buffer stock, seasonal buffer of +15-20%, festive buffer of +50-100%, First-Expired-First-Out (FEFO) discipline for fresh/perishable SKUs, Stock-Keeping Unit (SKU) assortment) defined.
Stockout/excess (waste) incidents affect over 20% of SKUs monthly.
Batch/expiry tracking is manual or absent, and shelf-life-driven markdowns/write-offs are not visible until after the fact.</t>
  </si>
  <si>
    <t xml:space="preserve">2 components defined.
Incidents affect 10-20% of SKUs monthly.
FEFO is followed inconsistently, with batch mismanagement (wrong batch picked/dispatched) as a regular occurrence.
Inventory visibility lags actual stock by more than a day.</t>
  </si>
  <si>
    <t xml:space="preserve">3 components defined (e.g., regular+buffer stock, one of seasonal/festive buffer, and a defined SKU assortment).
Incidents affect 5-10% of SKUs monthly.
FEFO is enforced for the majority of fresh SKUs.
Batch-level visibility exists but is not real-time, creating an occasional stockout-vs-waste trade-off at the shelf-life boundary.</t>
  </si>
  <si>
    <t xml:space="preserve">4 of the 5 components defined and reviewed monthly (seasonal +15-20% and festive +50-100% buffers both applied, FEFO enforced for fresh).
Incidents affect under 5% of SKUs monthly.
Batch/expiry data is visible near-real-time, keeping the stockout-vs-waste trade-off and batch mismanagement to isolated exceptions.</t>
  </si>
  <si>
    <t xml:space="preserve">All 5 components defined, automated, and reviewed weekly (regular+buffer stock, seasonal +15-20% buffer, festive +50-100% buffer, FEFO for fresh, SKU assortment).
Incidents affect under 2% of SKUs monthly.
Batch/expiry visibility is real-time and system-enforced, eliminating batch mismanagement and holding the stockout-vs-waste trade-off within a defined tolerance.</t>
  </si>
  <si>
    <t xml:space="preserve">• How many of the 5 inventory-planning components (regular + buffer stock, seasonal buffer of +15-20%, festive buffer of +50-100%, First-Expired-First-Out (FEFO) discipline, Stock-Keeping Unit (SKU) assortment) are defined?
• What % of SKUs are affected by stockout or excess/waste incidents monthly?
• Is FEFO enforced for fresh SKUs, and how often does batch mismanagement (wrong batch picked/dispatched) occur?
• Is batch/expiry data visible in real time, or does it lag actual stock?</t>
  </si>
  <si>
    <t>Stockout/Excess Incident Rate = SKUs Affected by Stockout or Waste / Total SKUs x 100 per Month.</t>
  </si>
  <si>
    <t>A13.3</t>
  </si>
  <si>
    <t>Replenishment Planning</t>
  </si>
  <si>
    <t xml:space="preserve">Replenishment triggered manually, irregularly.
No formula (Forecast Demand + Safety Stock - Current Inventory) used.
No wave structure, no min-max/reorder-point model.
No emergency top-up process for stockout risk.
Days of Inventory (DoI) not tracked.
Partial fulfillment, dock congestion, storage overflow common and unmanaged.</t>
  </si>
  <si>
    <t xml:space="preserve">Formula-based replenishment defined, run less than once a day.
Wave split ad hoc.
Min-max/reorder-point trigger defined for under 30% of SKUs.
Emergency top-up handled ad hoc, no SLA.
DoI tracked in aggregate only.
Partial fulfillment and storage overflow incidents frequent.</t>
  </si>
  <si>
    <t xml:space="preserve">Replenishment run once a day, on the standard formula.
Wave timing fixed, not demand-driven.
Min-max/reorder-point triggers cover 30-60% of SKUs.
Emergency top-up process exists, manually invoked.
DoI tracked by category.
Dock congestion from receipts reviewed, not systematically avoided.</t>
  </si>
  <si>
    <t xml:space="preserve">Replenishment run twice a day on a fixed clock.
Wave split defined (e.g., 70% night / 30% morning), moving toward demand-driven.
Not yet tied live to real dark-store demand signals.
Min-max/reorder-point triggers cover 60-90% of SKUs.
SLA-bound emergency top-up process in place.
DoI tracked by Stock-Keeping Unit (SKU) against a target band.
Dock congestion, storage overflow from receipts reduced to isolated exceptions.</t>
  </si>
  <si>
    <t xml:space="preserve">Automatic Replenishment System (ARS) runs the cycle twice a day.
Driven by real dark-store demand signals, not a fixed schedule.
Approximately 70% of replenishment executed at night, 30% morning/afternoon.
Lead-time-adjusted safety stock; under 2% stockout rate at dark stores.
Min-max/reorder-point triggers cover over 90% of SKUs.
Fully integrated with the automated, SLA-bound emergency top-up process.
DoI tracked by SKU in real time against target bands.
Dock congestion, storage overflow from receipts eliminated via slotted receiving.
Partial-fulfillment incidents root-caused monthly.</t>
  </si>
  <si>
    <t xml:space="preserve">• Is replenishment formula-based (Forecast Demand + Safety Stock - Current Inventory), and how many times a day does it run?
• Is the wave split (e.g., ~70% night / 30% day) defined, and is it driven by real dark-store demand signals or a fixed schedule?
• What % of Stock-Keeping Units (SKUs) have a min-max/reorder-point trigger defined?
• Is there a Service Level Agreement (SLA)-bound emergency top-up process for stockout risk?
• Is Days of Inventory (DoI) tracked by SKU against a target band?
• How frequent are dock congestion, storage overflow, or partial-fulfillment incidents?</t>
  </si>
  <si>
    <t>Dark-Store Stockout Rate % = Stockout Instances / Total Replenishment Instances x 100; supported by Night/Day Wave-Split Adherence % (target ~70/30) and Days of Inventory (DoI) vs. target band.</t>
  </si>
  <si>
    <t>A13.4</t>
  </si>
  <si>
    <t>Manpower &amp; Capacity Planning</t>
  </si>
  <si>
    <t xml:space="preserve">0-2 of 6 roles (inbound, outbound/picking, packing, put-away, supervisory, security) have defined manpower planning.
Staffing variance exceeds 20%.
No surge-planning mechanism for demand spikes and no defined gig-workforce flexibility strategy.
Staffing decisions ignore diurnal (hour-of-day) demand variability, and attrition/gig-supply risk are not tracked.</t>
  </si>
  <si>
    <t xml:space="preserve">3 roles planned.
Staffing variance 15-20%.
Surge planning is reactive (arranged only after a spike is already underway).
Gig-workforce usage is ad hoc with no defined flex ratio.
Diurnal variability is acknowledged but not built into shift design.
Attrition is tracked but not analyzed.</t>
  </si>
  <si>
    <t xml:space="preserve">4 roles planned.
Variance 10-15%.
A surge-planning trigger and a defined gig-to-permanent flex ratio exist for under 60% of shifts.
Shift design accounts for diurnal variability for the main peak window only.
Attrition and gig-supply risk are tracked monthly without a mitigation plan.</t>
  </si>
  <si>
    <t xml:space="preserve">5 roles planned with shift-level granularity.
Variance 5-10%.
Surge planning and a defined gig-flex ratio are applied on 60-90% of shifts, with shift design built around the full diurnal demand curve.
Attrition and gig-supply risk are tracked with an active mitigation/backup-pool plan.</t>
  </si>
  <si>
    <t xml:space="preserve">All 6 roles planned with daily granularity and capacity buffers.
Variance under 5%.
Surge planning and gig-flex ratio are applied on over 90% of shifts with capacity buffers pre-built into the roster.
Shift design is fully diurnal-curve-driven.
Attrition is held below a defined benchmark and gig-supply risk is mitigated via a pre-qualified backup pool, reviewed monthly.</t>
  </si>
  <si>
    <t xml:space="preserve">• How many of the 6 roles (inbound, outbound/picking, packing, put-away, supervisory, security) have defined manpower planning?
• What is the current staffing variance %?
• Is there a surge-planning mechanism for demand spikes, and a defined gig-to-permanent flex ratio?
• Does shift design account for diurnal (hour-of-day) demand variability?
• Is attrition and gig-supply risk tracked, with an active mitigation/backup-pool plan?</t>
  </si>
  <si>
    <t>Staffing Variance % = |Planned Headcount - Actual Headcount| / Planned Headcount x 100.</t>
  </si>
  <si>
    <t>A13.5</t>
  </si>
  <si>
    <t>Network Planning</t>
  </si>
  <si>
    <t xml:space="preserve">Fewer than 1 planned warehouse-to-dark-store replenishment cycle per day.
Dispatch is ad hoc.
No route or truck-load optimization applied (vehicles dispatched part-full, unoptimized routes).
Freezer/cold-chain capacity not factored into network planning.
Inbound to not-yet-live (pre-live) dark stores unplanned, causes downstream issues.</t>
  </si>
  <si>
    <t xml:space="preserve">1 replenishment cycle per day.
Wave split not defined.
Route/truck-load optimization applied to under 30% of dispatch routes.
Freezer-capacity constraints identified only after a breach.
Pre-live-store inward handled same as live-store inward, no distinction.</t>
  </si>
  <si>
    <t xml:space="preserve">1-2 cycles per day with a defined split (approximately 70/30), adherence under 70%.
Route/truck-load optimization covers 30-60% of dispatch routes.
Freezer/cold-chain capacity checked before dispatch, for temperature-sensitive SKUs only.
Pre-live dark-store inward follows a separate but informal process.</t>
  </si>
  <si>
    <t xml:space="preserve">2 cycles per day with a 70/30 (or optimized) split, adherence 70-90%.
Route/truck-load optimization covers 60-90% of dispatch routes, holding Orders Per Hour (OPH) close to target.
Freezer/cold-chain capacity planned ahead of dispatch, across all temperature zones.
Pre-live dark-store inward follows a defined, separate Standard Operating Procedure (SOP).</t>
  </si>
  <si>
    <t xml:space="preserve">2 or more cycles per day, wave-split adherence above 90%, dynamically adjusted to dark-store stock positions in real time.
Route/truck-load optimization covers over 90% of dispatch routes, OPH consistently at or above target.
Freezer/cold-chain capacity dynamically planned, zero temperature-zone breaches.
Pre-live dark-store inward fully governed by a dedicated SOP, zero cross-over incidents into live operations.</t>
  </si>
  <si>
    <t xml:space="preserve">• How many planned warehouse-to-dark-store replenishment cycles run per day, and what is the wave-split (e.g., ~70/30) adherence %?
• What % of dispatch routes have route/truck-load optimization applied, and how does Orders Per Hour (OPH) compare to target?
• Is freezer/cold-chain capacity planned ahead of dispatch across all temperature zones, or discovered only after a breach?
• Is inbound to pre-live (not-yet-live) dark stores governed by a separate, defined Standard Operating Procedure (SOP)?</t>
  </si>
  <si>
    <t>Wave-Split Adherence % = Replenishment Cycles Executed to Planned Wave Split / Total Planned Cycles x 100; supported by Orders Per Hour (OPH) vs. target.</t>
  </si>
  <si>
    <t>A13.6</t>
  </si>
  <si>
    <t>Planning Cycle &amp; Fill Rate Monitoring</t>
  </si>
  <si>
    <t xml:space="preserve">Fill rate under 70%.
No defined D-minus planning day; replenishment planning done same-day or reactively.
No visibility into the planning-to-dispatch window at all.</t>
  </si>
  <si>
    <t xml:space="preserve">Fill rate 70-80%.
Planning runs on D-1 (plan and dispatch the same day), used inconsistently.
D-1 planning compresses the processing window, creating a bottleneck between material arrival and dispatch.</t>
  </si>
  <si>
    <t xml:space="preserve">Fill rate 80-90%.
D-1 planning day formally defined and followed for FnV/dry categories.
The D-1 processing-window bottleneck is recognized but not yet resolved by moving to D-2.</t>
  </si>
  <si>
    <t xml:space="preserve">Fill rate 90-95%.
Planning cycle is moving from D-1 to D-2 for the majority of categories/stores; variance root-caused monthly.
Where D-2 is adopted, material arrives D-1 and is processed/dispatched the same day (D-1), sale at dark store on D.</t>
  </si>
  <si>
    <t xml:space="preserve">Fill rate above 95% (benchmark).
D-2 planning followed on 100% of days: plan on D-2, material arrives at the warehouse D-1, processed and dispatched D-1 (same day as arrival), sale at dark store on D.
Over/under-planning variance under 5%.</t>
  </si>
  <si>
    <t xml:space="preserve">• What is the current fill rate %?
• Is replenishment planned on a defined D-1 or D-2 cycle, and is it followed consistently across categories/stores?
• Is there a bottleneck between material arrival and dispatch caused by a compressed, same-day planning window?
• What is the over/under-planning variance %, and is it root-caused monthly?</t>
  </si>
  <si>
    <t>Fill Rate % = Order Quantity Fulfilled / Order Quantity Requested x 100; supported by D-2 Planning Adherence % = Days Planned on D-2 / Total Days x 100.</t>
  </si>
  <si>
    <t>Fill rate reported at 95%, within the Level 4 band (90-95%); the Level 5 band requires strictly 'above 95%'.</t>
  </si>
  <si>
    <t>Fill rate reported at 93-95%, within the Level 4 band (90-95%).</t>
  </si>
  <si>
    <t>Fill rate reported at 93%, within the Level 4 band (90-95%).</t>
  </si>
  <si>
    <t>Benchmarking tab, 'Inbound' block, row 20 (Fill rate).</t>
  </si>
  <si>
    <t>A13.7</t>
  </si>
  <si>
    <t>Supplier Planning &amp; Risk Management</t>
  </si>
  <si>
    <t xml:space="preserve">Supplier performance not tracked in any structured way.
No vendor fill rate, QC reject rate, or vendor-attributable RTV rate.
On-Time-In-Full (OTIF) neither defined nor measured.
Lead time undefined, even at vendor level, let alone per SKU.
Sourcing decisions made with zero supplier-risk visibility.</t>
  </si>
  <si>
    <t xml:space="preserve">One metric (typically OTIF) tracked in aggregate, no vendor breakdown.
Vendor fill rate, QC reject rate, RTV rate known anecdotally only.
Lead time defined per vendor for under 30% of vendors.
Lead time never defined per Stock-Keeping Unit (SKU).</t>
  </si>
  <si>
    <t xml:space="preserve">OTIF and vendor fill rate tracked by vendor, reviewed quarterly.
QC reject rate and vendor-attributable Return to Vendor (RTV) rate tracked for some vendors/SKUs.
Not yet linked to sourcing/allocation decisions.
Lead time defined per vendor for the majority of vendors.
Per-SKU lead time defined for under 30% of SKUs.</t>
  </si>
  <si>
    <t xml:space="preserve">OTIF, vendor fill rate, QC reject rate, RTV rate tracked by vendor.
Reviewed monthly, feeding a supplier scorecard.
Lead time defined per vendor per SKU for 60-90% of combinations.
Sourcing allocation adjusted for chronic OTIF/quality/RTV underperformers.</t>
  </si>
  <si>
    <t xml:space="preserve">OTIF, vendor fill rate, QC reject rate, RTV rate tracked by vendor and SKU in real time.
Automated scorecard drives sourcing/allocation and vendor tiering.
Lead time defined per vendor per SKU for over 90% of combinations, kept current.
OTIF held above a defined benchmark (e.g., 95%+).
Quarterly vendor business reviews close the loop on quality, fill rate, RTV.</t>
  </si>
  <si>
    <t xml:space="preserve">• Is On-Time-In-Full (OTIF) tracked by vendor, and what is the current OTIF %?
• Are vendor fill rate, Quality Check (QC) reject rate, and vendor-attributable Return to Vendor (RTV) rate tracked by vendor and Stock-Keeping Unit (SKU)?
• What % of vendor-SKU combinations have a defined, current lead time?
• Is sourcing/allocation adjusted based on a supplier scorecard, with quarterly vendor business reviews?</t>
  </si>
  <si>
    <t>On-Time-In-Full (OTIF) % = Vendor Deliveries On-Time and In-Full / Total Vendor Deliveries x 100; supported by Vendor Fill Rate %, QC Reject Rate % by vendor, Vendor-Attributable Return to Vendor (RTV) Rate %, and Lead Time per Vendor per Stock-Keeping Unit (SKU).</t>
  </si>
  <si>
    <t>A13.8</t>
  </si>
  <si>
    <t>Indent Accuracy (Order Projection vs. Actual)</t>
  </si>
  <si>
    <t>Indent is not reconciled against actual inward/dispatch at all, or the variance exceeds 30% where checked.</t>
  </si>
  <si>
    <t>Indent-vs-actual variance runs at 20-30%, reconciled only in aggregate.</t>
  </si>
  <si>
    <t>Indent-vs-actual variance runs at 10-20%, reconciled daily for the majority of SKUs/stores.</t>
  </si>
  <si>
    <t>Indent-vs-actual variance runs at 5-10%, reconciled daily with root cause reviewed monthly.</t>
  </si>
  <si>
    <t>Indent-vs-actual variance is held under 5%, reconciled in real time and reported as a standing indent-accuracy Key Performance Indicator (KPI) alongside forecast accuracy.</t>
  </si>
  <si>
    <t xml:space="preserve">• Is indent reconciled against actual inward/dispatch quantity, and what is the current variance %?
• How frequently is this reconciliation done - in aggregate, daily, or real-time?
• Is the variance root-caused, and how often?
• Is indent accuracy tracked as a standing Key Performance Indicator (KPI) alongside forecast accuracy?</t>
  </si>
  <si>
    <t>Indent Accuracy % = 1 - (|Actual Inward/Dispatch Quantity - Indent Quantity| / Indent Quantity) x 100.</t>
  </si>
  <si>
    <t>A13.9</t>
  </si>
  <si>
    <t>Inventory Rotation FIFO Compliance %</t>
  </si>
  <si>
    <t>First-In-First-Out (FIFO) compliance for inventory rotation (distinct from the dock-sequencing FIFO in A1.4) runs under 50%, with picking/putaway routinely bypassing the oldest-stock-first rule.</t>
  </si>
  <si>
    <t>FIFO compliance runs at 50-70%, followed inconsistently across zones.</t>
  </si>
  <si>
    <t>FIFO compliance runs at 70-85%, enforced for the majority of zones but not system-validated.</t>
  </si>
  <si>
    <t>FIFO compliance runs at 85-95%, system-guided for putaway and picking across most zones.</t>
  </si>
  <si>
    <t>FIFO compliance exceeds 95%, system-enforced at putaway and picking with exceptions flagged automatically.</t>
  </si>
  <si>
    <t xml:space="preserve">• What is the current First-In-First-Out (FIFO) compliance % for inventory rotation (picking/putaway following oldest-stock-first)?
• Is FIFO enforced consistently across all zones, or followed inconsistently?
• Is FIFO compliance system-guided/system-validated at putaway and picking, or manually tracked?
• Are FIFO exceptions flagged automatically?</t>
  </si>
  <si>
    <t>First-In-First-Out (FIFO) Compliance % = Picks/Putaways Following Oldest-Stock-First Rule / Total Picks/Putaways x 100.</t>
  </si>
  <si>
    <t>A13.10</t>
  </si>
  <si>
    <t>Inventory Accuracy % (System vs. Physical)</t>
  </si>
  <si>
    <t xml:space="preserve">Inventory accuracy (system vs. physical stock) runs under 90%.
No regular cycle-count process or defined frequency.
No cycle-count reports published.
SKU coverage over any cycle period unknown; likely permanently-uncounted SKUs.</t>
  </si>
  <si>
    <t xml:space="preserve">Inventory accuracy runs at 90-95%.
Cycle counts happen ad hoc, no defined frequency per location/SKU.
Reports, where produced, are informal, not regularly published.
SKU coverage over a cycle period not tracked.</t>
  </si>
  <si>
    <t xml:space="preserve">Inventory accuracy runs at 95-98%.
A defined cycle-count frequency exists per location/SKU, followed for most locations.
Cycle-count reports published periodically.
Full SKU coverage over the cycle period targeted, not verified.</t>
  </si>
  <si>
    <t xml:space="preserve">Inventory accuracy runs at 98-99.5%.
Cycle counts run weekly against the defined frequency; variance root-caused.
Cycle-count reports published weekly.
Coverage mechanism confirms most SKUs counted within the cycle period; isolated gaps remain.</t>
  </si>
  <si>
    <t xml:space="preserve">Inventory accuracy exceeds 99.5%, via continuous/perpetual cycle counting with real-time variance alerts.
Cycle-count frequency defined and adhered to for 100% of locations/SKUs.
Cycle-count reports published in real time/daily.
Full SKU coverage over the cycle period verified; zero permanently-uncounted SKUs.</t>
  </si>
  <si>
    <t xml:space="preserve">• What is the current inventory accuracy % (system vs. physical stock)?
• Is there a defined cycle-count frequency per location/Stock-Keeping Unit (SKU), and is it followed?
• How often are cycle-count reports published - ad hoc, periodic, weekly, or real-time?
• Is full SKU coverage over the cycle period verified, or are there likely permanently-uncounted SKUs?</t>
  </si>
  <si>
    <t>Inventory Accuracy % = SKU Locations Matching System Stock / Total SKU Locations Counted x 100; supported by Cycle-Count Coverage % = SKUs Counted Within Defined Cycle Period / Total SKUs x 100.</t>
  </si>
  <si>
    <t>A13.11</t>
  </si>
  <si>
    <t>Expiry Loss % (Expired Value vs. Sales)</t>
  </si>
  <si>
    <t>Expiry loss exceeds 3% of inventory value/sales, not reconciled against First-Expired-First-Out (FEFO) compliance.</t>
  </si>
  <si>
    <t>Expiry loss runs at 2-3%.</t>
  </si>
  <si>
    <t>Expiry loss runs at 1-2%, tracked monthly but not yet linked to FEFO compliance.</t>
  </si>
  <si>
    <t>Expiry loss runs at 0.5-1%, reviewed monthly against FEFO compliance to close the loop.</t>
  </si>
  <si>
    <t>Expiry loss is held under 0.5%, tracked in real time and directly reconciled against FEFO/First-In-First-Out (FIFO) compliance.</t>
  </si>
  <si>
    <t xml:space="preserve">• What is the current expiry loss % (value of expired inventory / total sales value)?
• Is expiry loss tracked monthly or in real time?
• Is expiry loss reconciled against First-Expired-First-Out (FEFO)/First-In-First-Out (FIFO) compliance to close the loop?</t>
  </si>
  <si>
    <t>Expiry Loss % = Value of Expired Inventory / Total Sales Value x 100.</t>
  </si>
  <si>
    <t>A13.12</t>
  </si>
  <si>
    <t>Absenteeism %</t>
  </si>
  <si>
    <t>Absenteeism exceeds 10%, not linked to staffing-variance root cause.</t>
  </si>
  <si>
    <t>Absenteeism runs at 7-10%, tracked but not analyzed.</t>
  </si>
  <si>
    <t>Absenteeism runs at 5-7%, tracked daily and reviewed as one driver of staffing variance.</t>
  </si>
  <si>
    <t>Absenteeism runs at 3-5%, tracked daily with a defined threshold and reviewed alongside attrition.</t>
  </si>
  <si>
    <t>Absenteeism is held under 3%, tracked daily and reviewed jointly with attrition and gig-supply risk as the standing staffing-variance root-cause set.</t>
  </si>
  <si>
    <t xml:space="preserve">• What is the current absenteeism % (manpower absent / manpower rostered)?
• Is absenteeism tracked daily, with a defined threshold?
• Is absenteeism reviewed as a driver of staffing variance, alongside attrition and gig-supply risk?</t>
  </si>
  <si>
    <t>Absenteeism % = Manpower Absent / Manpower Rostered x 100.</t>
  </si>
  <si>
    <t>A13.13</t>
  </si>
  <si>
    <t>Inward Accuracy (Actual Arrived Qty vs. Indent)</t>
  </si>
  <si>
    <t>Inward quantity deviates from Indent by more than 25%, with no reconciled tracking.</t>
  </si>
  <si>
    <t>Inward deviates from Indent by 15-25%, tracked in aggregate only.</t>
  </si>
  <si>
    <t>Inward deviates from Indent by 10-15%, reconciled daily for FnV/dry categories.</t>
  </si>
  <si>
    <t>Inward deviates from Indent by 5-10%, reconciled daily with variance root-caused monthly.</t>
  </si>
  <si>
    <t>Inward deviates from Indent by under 5%, reconciled in real time as part of the daily planning-cycle Key Performance Indicator (KPI) set.</t>
  </si>
  <si>
    <t xml:space="preserve">• What is the current deviation % between actual inward quantity and indent?
• Is this reconciled daily, and for which categories (e.g., Fruits &amp; Vegetables (FnV)/dry)?
• Is the variance root-caused, and how often?
• Is inward accuracy tracked in real time as part of the daily planning-cycle Key Performance Indicator (KPI) set?</t>
  </si>
  <si>
    <t>Inward Accuracy % = 1 - (|Actual Arrived Quantity - Indent Quantity| / Indent Quantity) x 100.</t>
  </si>
  <si>
    <t>A13.14</t>
  </si>
  <si>
    <t>Dispatched Accuracy (Actual Dispatched Qty vs. Plan)</t>
  </si>
  <si>
    <t>Dispatched quantity deviates from the plan by more than 25%, with no reconciled tracking.</t>
  </si>
  <si>
    <t>Dispatched deviates from plan by 15-25%, tracked in aggregate only.</t>
  </si>
  <si>
    <t>Dispatched deviates from plan by 10-15%, reconciled daily for FnV/dry categories.</t>
  </si>
  <si>
    <t>Dispatched deviates from plan by 5-10%, reconciled daily with variance root-caused monthly.</t>
  </si>
  <si>
    <t>Dispatched deviates from plan by under 5%, reconciled in real time alongside fill rate as part of the daily planning-cycle Key Performance Indicator (KPI) set.</t>
  </si>
  <si>
    <t xml:space="preserve">• What is the current deviation % between actual dispatched quantity and the plan?
• Is this reconciled daily, and for which categories?
• Is the variance root-caused monthly?
• Is dispatch accuracy tracked alongside fill rate as part of the daily planning-cycle Key Performance Indicator (KPI) set?</t>
  </si>
  <si>
    <t>Dispatch Accuracy % = 1 - (|Actual Dispatched Quantity - Planned Quantity| / Planned Quantity) x 100.</t>
  </si>
  <si>
    <t>A14</t>
  </si>
  <si>
    <t>Facility &amp; Warehouse Design</t>
  </si>
  <si>
    <t>A14.1</t>
  </si>
  <si>
    <t>Facility Sizing &amp; Throughput Planning</t>
  </si>
  <si>
    <t xml:space="preserve">Facility throughput under 60% of the Fruits &amp; Vegetables (FnV) benchmark (below 2.4 units/sq ft).
Dispatch capacity not benchmarked against warehouse area at all.</t>
  </si>
  <si>
    <t xml:space="preserve">Throughput at 60-75% of the FnV benchmark.
Dispatch capacity vs. warehouse area is not yet validated.</t>
  </si>
  <si>
    <t xml:space="preserve">Throughput at 75-90% of the FnV benchmark (approximately 3-3.6 units/sq ft).
Dispatch capacity is estimated against warehouse area but not formally validated.</t>
  </si>
  <si>
    <t xml:space="preserve">Throughput at 90-100% of the FnV benchmark (4 units/sq ft).
Outbound dispatch capacity validated at approximately 4x warehouse area.</t>
  </si>
  <si>
    <t xml:space="preserve">Throughput consistently at or above the FnV benchmark (4+ units/sq ft).
Dispatch capacity engineered and validated at exactly 4x warehouse area (e.g., a 50,000 sq ft facility supporting 200,000-unit dispatch capacity), reviewed quarterly.</t>
  </si>
  <si>
    <t xml:space="preserve">• What is current throughput (units dispatched per sq ft per day), and how does it compare to the Fruits &amp; Vegetables (FnV) benchmark of 2.4-4+ units/sq ft?
• Has dispatch capacity been validated against warehouse area (target ~4x)? Ask to see the calculation.
• Is this validation reviewed on a set cadence (e.g., quarterly), or was it a one-time exercise?
• Is throughput trending up, flat, or down over recent periods?</t>
  </si>
  <si>
    <t>Facility Throughput = Units Dispatched / Sq Ft / Day, vs. Fruits &amp; Vegetables (FnV) benchmark (2.4-4+ units/sq ft); supported by Dispatch Capacity Validation (target ~4x warehouse area).</t>
  </si>
  <si>
    <t>Detailed facility throughput/capacity sizing study recommended where measured throughput falls below the FnV benchmark.</t>
  </si>
  <si>
    <t>Reported throughput 3.75 units/sq ft against this diagnostic's ~4.0 units/sq ft FnV benchmark (~94% of benchmark, within the 90-100% Level 4 band).</t>
  </si>
  <si>
    <t>Reported throughput 4 units/sq ft, at the Level 4 band's upper example value; single-point-in-time figure, not confirmed as a sustained trend, so not scored Level 5.</t>
  </si>
  <si>
    <t>Reported average throughput 3.33 units/sq ft (peak of 5) against the ~4.0 benchmark (~83% of benchmark, within the 75-90% Level 3 band); average used rather than peak.</t>
  </si>
  <si>
    <t>Benchmarking tab, 'Facility' block, row 7 (Throughput, units/sq ft).</t>
  </si>
  <si>
    <t>A14.2</t>
  </si>
  <si>
    <t>Warehouse Layout Design</t>
  </si>
  <si>
    <t xml:space="preserve">Layout not benchmarked against Selective Pallet Racking (SPR)/Multi-Tier Shelving (MTS) design standards.
Storage-area ratio undefined or deviates over 70% from the 50-60% norm.</t>
  </si>
  <si>
    <t xml:space="preserve">Partial benchmarking against SPR/MTS design standards.
Storage ratio in the 60-70% band (too high, indicating processing-area shortfall) or below 40%.</t>
  </si>
  <si>
    <t xml:space="preserve">Storage area at 50-60% of total footprint, per design norm.
Aisle widths (~10 ft) and beam lengths (~2.4m) mostly conform to standard.</t>
  </si>
  <si>
    <t xml:space="preserve">Full conformance to SPR/MTS specifications (aisle width, 100mm overhang, 3-4 ft sprinkler clearance).
Storage ratio at 50-55%, or up to 60% for high-inventory/smaller-city sites.
Density near 22.5 units/sq ft.</t>
  </si>
  <si>
    <t xml:space="preserve">Layout fully optimized, including narrow-aisle configurations where applicable.
Density at 22.5 units/sq ft with 100% spec conformance.
Storage ratio precisely tuned to inventory-days requirement.</t>
  </si>
  <si>
    <t xml:space="preserve">• Has the layout been benchmarked against Selective Pallet Racking (SPR)/Multi-Tier Shelving (MTS) design standards? Ask for evidence.
• What % of total footprint is storage area (design norm: 50-60%)?
• Do aisle widths (~10 ft) and beam lengths (~2.4m) conform to standard? Check on the floor.
• What is current storage density (units/sq ft) versus the ~22.5 units/sq ft target?
• Is the storage ratio tuned to inventory-days requirement, or fixed regardless of demand?
• Are narrow-aisle configurations used where applicable?</t>
  </si>
  <si>
    <t>Storage Density = Units Stored / Sq Ft, vs. Selective Pallet Racking (SPR)/Multi-Tier Shelving (MTS) design norm.</t>
  </si>
  <si>
    <t>Detailed layout/slotting design study recommended where layout is not benchmarked against SPR/MTS design standards.</t>
  </si>
  <si>
    <t>A14.3</t>
  </si>
  <si>
    <t>Cost per Unit Tracking</t>
  </si>
  <si>
    <t xml:space="preserve">0-2 of the core cost components tracked (manpower, material supply, packaging, electricity, depreciation, rent).
Other relevant components (e.g., security, maintenance) not considered.
No per-facility tracking; no periodic review.
Cost per Order not understood as derived - untracked, or duplicated as a separate exercise.</t>
  </si>
  <si>
    <t xml:space="preserve">3 of the core components tracked, blended across facilities, not per facility.
Additional components (security, maintenance, etc.) not yet considered.
Reviewed annually.
Cost per Order, where mentioned, not linked back to Cost per Unit.</t>
  </si>
  <si>
    <t xml:space="preserve">4-5 of the core components tracked per facility.
At least one other relevant component (e.g., security, maintenance) included where material.
Reviewed quarterly.
Cost per Order understood as Cost per Unit x Units per Order, but still separately tracked in places.</t>
  </si>
  <si>
    <t xml:space="preserve">All 6 core components, plus other relevant components, tracked consistently per facility.
Reviewed monthly, feeding cost-per-unit optimization actions.
Cost per Order consistently derived as Cost per Unit x Units per Order, not double-tracked.</t>
  </si>
  <si>
    <t xml:space="preserve">Full cost-component coverage (core plus all other relevant components) tracked across every facility.
Reviewed monthly or more often, with a documented downward cost-per-unit trend.
Cost per Order always derived (Cost per Unit x Units per Order), never separately tracked.
Reviewed alongside Cost per Unit as one unified view.</t>
  </si>
  <si>
    <t xml:space="preserve">• How many of the 6 core cost components (manpower, material supply, packaging, electricity, depreciation, rent) are tracked?
• Are costs tracked per facility, or only blended across facilities?
• Are other relevant components (e.g., security, maintenance) included where material?
• How frequently is cost per unit reviewed - annually, quarterly, or monthly?
• Is Cost per Order derived as Cost per Unit x Units per Order, or tracked separately (double-counted)?
• Is there a documented downward cost-per-unit trend?</t>
  </si>
  <si>
    <t>Cost Per Unit (Rs./unit) = Total Tracked Cost Components (manpower, material supply, packaging, electricity, depreciation, rent, and other relevant components such as security and maintenance) / Total Units Processed, tracked per facility; Cost Per Order (Rs./order) = Cost Per Unit x Units Per Order (a derived figure, not separately tracked).</t>
  </si>
  <si>
    <t>A14.4</t>
  </si>
  <si>
    <t>Project Planning &amp; Governance (Charter, Timeline, Cost Control)</t>
  </si>
  <si>
    <t xml:space="preserve">No formal project charter, scope definition, or Gantt chart is used for planning/execution.
Timelines and budgets are not documented.
Delivery is tracked informally, with over 50% of projects (of any type - warehouse design/expansion, systems rollout, process change, etc.) running behind schedule or over budget with no visibility into the cause.</t>
  </si>
  <si>
    <t xml:space="preserve">A basic project charter (scope/objective) is drafted for under 40% of projects.
No Gantt chart or formal milestone timeline is maintained.
Schedule or cost overrun exceeds 30% on the majority of tracked projects.</t>
  </si>
  <si>
    <t xml:space="preserve">A project charter (scope, objective, stakeholders, budget) and a Gantt chart with defined milestones are used for 40-70% of projects.
Milestone/timeline adherence is reviewed periodically (e.g., monthly), but cost tracking against budget is inconsistent.
Schedule or cost overrun is in the 15-30% band.</t>
  </si>
  <si>
    <t xml:space="preserve">A project charter and Gantt chart with milestone-level timelines are mandatory and used for 70-95% of projects.
Progress and cost are reviewed on a defined cadence (e.g., weekly) against the charter baseline.
Schedule/cost overrun held under 15%, with variances root-caused.</t>
  </si>
  <si>
    <t xml:space="preserve">Over 95% of projects (irrespective of type) are governed by a formal charter and Gantt chart with baselined milestones, tracked in real time against a defined ownership/Responsible, Accountable, Consulted, Informed (RACI) matrix.
Over 90% of projects are delivered on time and within the approved budget (schedule/cost overrun under 5%), with lessons-learned closed out post-project.</t>
  </si>
  <si>
    <t xml:space="preserve">• Is a formal project charter (scope, objective, stakeholders, budget) used, and for what % of projects?
• Is a Gantt chart with defined milestones maintained?
• What % of projects run over schedule or over budget, and by how much?
• How often is progress/cost reviewed against the charter baseline - monthly, weekly, or real-time?
• Is there a defined Responsible, Accountable, Consulted, Informed (RACI) matrix for project ownership?
• Are lessons-learned closed out post-project?</t>
  </si>
  <si>
    <t>On-Time, On-Budget Delivery % = Projects Delivered Within Baselined Timeline &amp; Budget / Total Projects x 100.</t>
  </si>
  <si>
    <t>A14.5</t>
  </si>
  <si>
    <t>Utility Cost per Sqft</t>
  </si>
  <si>
    <t>Utility cost per sqft runs more than 20% over the approved budget/benchmark, with no per-sqft normalization tracked.</t>
  </si>
  <si>
    <t>Utility cost per sqft runs 10-20% over budget/benchmark.</t>
  </si>
  <si>
    <t>Utility cost per sqft runs within 10% of budget/benchmark, tracked quarterly.</t>
  </si>
  <si>
    <t>Utility cost per sqft runs at or below budget/benchmark, tracked monthly.</t>
  </si>
  <si>
    <t>Utility cost per sqft runs consistently below budget/benchmark with a documented downward trend, tracked monthly or more frequently.</t>
  </si>
  <si>
    <t xml:space="preserve">• What is utility cost per sq ft versus the approved budget/benchmark?
• Is utility cost normalized per sq ft, or only tracked in aggregate?
• How often is it reviewed - quarterly, monthly, or more frequently?
• Is there a documented downward trend in utility cost per sq ft?</t>
  </si>
  <si>
    <t>Utility Cost per Sq Ft (Rs./sq ft) = Total Utility Cost / Total Facility Area.</t>
  </si>
  <si>
    <t>A15</t>
  </si>
  <si>
    <t>Collection Center Operations (FnV)</t>
  </si>
  <si>
    <t>A15.1</t>
  </si>
  <si>
    <t>Collection Center Setup &amp; Purpose</t>
  </si>
  <si>
    <t xml:space="preserve">0% of inbound Fruits &amp; Vegetables (FnV) volume routed through a Collection Center (CC).
No financial justification test exists.
CC cost + middle-mile leg cost vs. Sorting &amp; Grading (S&amp;G)/packing savings - question never asked.</t>
  </si>
  <si>
    <t xml:space="preserve">Under 20% of volume routed via a CC.
Where a CC exists, its financial justification is not calculated.
CC cost + CC-to-warehouse middle-mile leg vs. reduced S&amp;G/packing load and net landing cost - untested.</t>
  </si>
  <si>
    <t xml:space="preserve">20-50% of volume via a CC, reducing first-mile disruption.
A financial justification test is calculated.
Result is unverified, or shows the CC is not clearly paying for itself.</t>
  </si>
  <si>
    <t xml:space="preserve">50-80% of volume via a CC, with a defined sorting/grading/packing split.
Financial justification test calculated for the majority of CCs.
CC-plus-middle-mile cost shown below warehouse S&amp;G/packing savings and net landing-cost reduction.</t>
  </si>
  <si>
    <t xml:space="preserve">Over 80% of volume via a CC.
Every CC passes the financial justification test.
CC-plus-middle-mile cost verified below the combined S&amp;G/packing savings and net landing-cost reduction it generates.
Fully optimized first-mile network, measurably reducing cost-per-unit quarter-on-quarter.</t>
  </si>
  <si>
    <t xml:space="preserve">• What % of inbound Fruits &amp; Vegetables (FnV) volume is routed through a Collection Center (CC)?
• Has a financial justification test been calculated for the CC (CC cost plus middle-mile leg versus Sorting &amp; Grading (S&amp;G)/packing savings)?
• Does the CC pass this test - is CC-plus-middle-mile cost below the S&amp;G/packing savings and net landing-cost reduction it generates?
• Is this reviewed periodically, and is there a quarter-on-quarter cost-per-unit reduction trend?</t>
  </si>
  <si>
    <t>Collection Center (CC) Volume Share % = Inbound Volume Routed via CC / Total Inbound Volume x 100; supported by CC Net Financial Benefit = (Reduced Warehouse S&amp;G/Packing Cost + Net Landing-Cost Savings) - (CC Operating Cost + CC-to-Warehouse Middle-Mile Cost).</t>
  </si>
  <si>
    <t>90% of volume routed via the collection center, exceeding the Level 5 threshold (over 80%); sustained cost-reduction trend not separately confirmed.</t>
  </si>
  <si>
    <t>80% of volume routed via the collection center - at the Level 4/Level 5 boundary (Level 5 requires 'over 80%'), scored conservatively at Level 4.</t>
  </si>
  <si>
    <t>80% of volume routed via the collection center - same boundary case as Blinkit, scored at Level 4.</t>
  </si>
  <si>
    <t>Zepto</t>
  </si>
  <si>
    <t>Benchmarking tab, 'Collection center' block, row 13 (Contribution).</t>
  </si>
  <si>
    <t>A15.2</t>
  </si>
  <si>
    <t>Collection Center Timing &amp; Dispatch Cutoffs</t>
  </si>
  <si>
    <t xml:space="preserve">Under 50% of CC dispatches meet the 3:00 PM cutoff.
Frequent arrivals past 9:00 PM.
Cutoff set arbitrarily, no link to warehouse's remaining packing/labeling/allocation workload or its dispatch wave.</t>
  </si>
  <si>
    <t xml:space="preserve">50-70% adherence to the 3:00 PM dispatch / 9:00 PM arrival cutoffs.
Cutoff timing not designed around the warehouse's processing buffer.
A late CC dispatch regularly squeezes the warehouse's own pre-dispatch work.</t>
  </si>
  <si>
    <t xml:space="preserve">70-85% adherence. Material typically arrives by 8-9 PM, packing done by 11:30 PM.
Cutoff-to-buffer link is recognized but not formally designed in.</t>
  </si>
  <si>
    <t xml:space="preserve">85-95% adherence. Arrival consistently by 7-8 PM, processing complete by 12:00 AM, FnV dispatch by 1:00 PM.
CC cutoff (for a CC 50-70 km from the warehouse, typically 2:30-3:00 PM) explicitly leaves a defined buffer for warehouse packing/labeling/allocation ahead of its dispatch wave.</t>
  </si>
  <si>
    <t xml:space="preserve">Over 95% adherence to the full cutoff chain (2:30-3:00 PM CC dispatch, 7-8 PM arrival, 12 AM processing complete, 1 PM FnV dispatch), tracked daily on an SLA dashboard.
Cutoff is explicitly buffer-designed against warehouse processing capacity.
Zero downstream squeeze incidents at the warehouse's outbound wave.</t>
  </si>
  <si>
    <t xml:space="preserve">• What % of CC dispatches meet the defined cutoff (e.g., 2:30-3:00 PM) and arrival window (e.g., 7-9 PM)?
• Is the cutoff explicitly designed around the warehouse's remaining packing/labeling/allocation workload, or set arbitrarily?
• Does a late CC dispatch regularly squeeze the warehouse's pre-dispatch work?
• Is adherence tracked daily on a Service Level Agreement (SLA) dashboard?
• Are there zero downstream squeeze incidents at the warehouse's outbound wave?</t>
  </si>
  <si>
    <t>Cutoff Adherence % = Dispatches/Arrivals Meeting Defined Cutoff Time / Total Dispatches/Arrivals x 100; supported by CC Dispatch-to-Warehouse-Wave Buffer (minutes), confirming the cutoff is buffer-designed, not arbitrary.</t>
  </si>
  <si>
    <t>A15.3</t>
  </si>
  <si>
    <t>Collection Center Processing Split</t>
  </si>
  <si>
    <t xml:space="preserve">No defined processing split between Collection Center (CC) and warehouse.
Allocation decided ad hoc daily, not tied to supply-assurance or processing-capability.
Packing/stickering happens only at the warehouse, not tracked as a CC activity.
No weight verification at CC-to-warehouse handoff.</t>
  </si>
  <si>
    <t xml:space="preserve">Split defined loosely, not documented as a fixed percentage.
Not linked to supply-assurance/processing-capability at either site.
Packing/stickering at the CC, where it happens, untracked and inconsistent.
Handoff weight checked manually if at all, no defined method.</t>
  </si>
  <si>
    <t xml:space="preserve">Split formally defined as a fixed percentage (e.g., 70% CC / 30% warehouse), followed on over 70% of days.
Set as an arbitrary ratio, not matched to supply-assurance/processing-capability.
Packing/stickering at the CC tracked for the majority of eligible volume.
Handoff weight verification manual, done for most CC-to-warehouse dispatches.</t>
  </si>
  <si>
    <t xml:space="preserve">Defined split followed on over 90% of days.
Reviewed monthly against volume, cost-per-unit impact, and supply-assurance/processing-capability at each site.
Packing/stickering at the CC standard practice, tracked for over 90% of eligible volume.
Internet of Things (IoT)-based weight verification used for the majority of handoffs.</t>
  </si>
  <si>
    <t xml:space="preserve">Split optimized and reviewed quarterly, followed on over 95% of days.
Documented rationale explicitly matches the ratio to supply-assurance and processing-capability.
Packing/stickering at the CC fully systemized, covering effectively all eligible volume.
IoT-based weight verification covers 100% of handoffs, zero unverified transfers.</t>
  </si>
  <si>
    <t xml:space="preserve">• Is there a defined CC-vs-warehouse processing split (e.g., 70/30), documented as a fixed percentage?
• Is the split tied to supply-assurance/processing-capability at each site, or set arbitrarily?
• What % of days is the defined split actually followed?
• Is packing/stickering done and tracked as a CC activity?
• Is weight verified at the CC-to-warehouse handoff - manually, or via Internet of Things (IoT)-based sensors?
• What % of handoffs have IoT-based weight-verification coverage?</t>
  </si>
  <si>
    <t>Processing Split Adherence % = Days Following Defined CC-vs-Warehouse Processing Ratio / Total Days x 100; supported by Internet of Things (IoT) Weight-Verification Coverage % at CC-to-Warehouse Handoff.</t>
  </si>
  <si>
    <t>A15.4</t>
  </si>
  <si>
    <t>Unloading Productivity Norms</t>
  </si>
  <si>
    <t xml:space="preserve">Unloading productivity not benchmarked by load type (packed vs bulk).
No target set.</t>
  </si>
  <si>
    <t xml:space="preserve">Productivity tracked in aggregate only, below benchmark (under 400 units/person/hour packed.
Under 4 pallets/person/hour bulk).</t>
  </si>
  <si>
    <t>Productivity at benchmark for one load type only: 500 units/person/hour for packed material, or 5 pallets (125 crates)/person/hour for bulk - not both.</t>
  </si>
  <si>
    <t xml:space="preserve">Productivity at benchmark for both load types (500 units/person/hour packed.
5 pallets or 125 crates/person/hour bulk), tracked daily.</t>
  </si>
  <si>
    <t>Productivity consistently at or above benchmark for both load types, tracked in real time, with variance-driven staffing adjustments.</t>
  </si>
  <si>
    <t xml:space="preserve">• Is unloading productivity benchmarked separately by load type - packed versus bulk?
• What is current productivity (units/person/hour packed; pallets or crates/person/hour bulk) versus benchmark (500 units/person/hour packed; 5 pallets or 125 crates/person/hour bulk)?
• Is productivity tracked daily or in real time, or only periodically/in aggregate?
• Are staffing levels adjusted based on productivity variance?</t>
  </si>
  <si>
    <t>Unloading Productivity by Load Type = Units Unloaded / Person-Hour, segmented Packed vs. Bulk, vs. benchmark.</t>
  </si>
  <si>
    <t>A16</t>
  </si>
  <si>
    <t>Dark Store / Collection Hub Operations</t>
  </si>
  <si>
    <t>A16.1</t>
  </si>
  <si>
    <t>Dark Store Receiving &amp; Putaway</t>
  </si>
  <si>
    <t xml:space="preserve">Receiving not verified against inbound manifest.
Stock put away wherever space allows.
No defined putaway sequence.
Receipt-to-Goods Receipt Note (GRN) Turnaround Time (TAT) not measured.
GRN-to-Putaway TAT not measured.
No defined receiving model - tote-level scan-in vs. unit-wise GRN not distinguished.
Receiving accuracy not tracked, or under 90% where spot-checked.</t>
  </si>
  <si>
    <t xml:space="preserve">Receiving checked against manifest for majority of inbound trips.
Check is manual, no system confirmation.
Putaway follows an informal, memory-based location pattern.
Receipt-to-GRN TAT and GRN-to-Putaway TAT logged inconsistently, not split as separate segments.
A receiving model (tote-level or unit-wise) is used but inconsistently, not tracked by type.
Receiving accuracy runs 90-95%.</t>
  </si>
  <si>
    <t xml:space="preserve">Receiving verified against digital manifest for over 70% of inbound trips before putaway begins.
Defined rack/shelf locations exist for majority of SKUs and are followed.
Receipt-to-GRN TAT and GRN-to-Putaway TAT tracked as separate segments, reviewed weekly.
Receiving model (tote-level scan-in or unit-wise GRN) is defined and applied consistently for majority of SKUs.
Receiving accuracy runs 95-98%.</t>
  </si>
  <si>
    <t xml:space="preserve">Receiving scanned against digital manifest for over 90% of inbound trips.
Short-receipt/excess auto-flagged.
Putaway is system-directed for over 90% of SKUs.
Receipt-to-GRN TAT and GRN-to-Putaway TAT tracked daily against defined targets.
Where tote-level receiving is used, tote-content integrity is spot-checked to validate reliability.
Receiving model choice is deliberate by SKU/vendor, not default.
Receiving accuracy runs 98-99.5%.</t>
  </si>
  <si>
    <t xml:space="preserve">Receiving scanned end-to-end, zero manual reconciliation.
Short-receipt/excess auto-escalated in real time.
Putaway is system-directed for 100% of SKUs with real-time location confirmation.
Receipt-to-GRN TAT and GRN-to-Putaway TAT held under defined benchmarks, tracked in real time.
Receiving model applied consistently per SKU/vendor category.
Tote-content integrity validated in real time where tote-level receiving is used.
Receiving accuracy exceeds 99.5%.</t>
  </si>
  <si>
    <t xml:space="preserve">• Is inbound receiving verified against a digital manifest before putaway begins, and for what % of trips?
• Is putaway system-directed to defined locations, or ad hoc/memory-based?
• Are Receipt-to-Goods Receipt Note (GRN) Turnaround Time (TAT) and GRN-to-Putaway TAT tracked as separate segments?
• Is there a defined receiving model - tote-level scan-in versus unit-wise GRN - applied consistently by SKU/vendor?
• Are short-receipt/excess auto-flagged or escalated in real time?
• What is current receiving accuracy %?</t>
  </si>
  <si>
    <t>Receipt-to-Goods Receipt Note (GRN) Turnaround Time (TAT) and GRN-to-Putaway TAT (minutes), tracked as separate segments; supported by Receiving Accuracy % and Receiving-Model Consistency % (Tote-Level Scan-In vs. Unit-Wise GRN, applied as defined).</t>
  </si>
  <si>
    <t>A16.2</t>
  </si>
  <si>
    <t>Dark Store Picking &amp; Packing Productivity</t>
  </si>
  <si>
    <t xml:space="preserve">No defined picking or packing productivity target at the dark store.
Productivity not measured.
Order-Receipt-to-Order-Acceptance time not tracked.
Pick rate per person not tracked.
Units per order not tracked.
Order-Handover-to-Delivery-Agent time not tracked.
Not-Received (NR) % - ordered items unfulfillable due to shortage, expiry, or wastage - not tracked.
Shelf-level material availability not tracked.
Picking accuracy not tracked, or under 95% where estimated.</t>
  </si>
  <si>
    <t xml:space="preserve">A productivity target exists but not consistently tracked.
Measurement is manual and periodic (e.g., weekly spot-check).
Order-Receipt-to-Order-Acceptance time and Order-Handover-to-Delivery-Agent time not measured.
Pick rate estimated occasionally, well outside the 13-16 second/unit benchmark.
NR% and shelf-level material availability known anecdotally, not measured.
Picking accuracy runs 95-97%.</t>
  </si>
  <si>
    <t xml:space="preserve">Picker and packer productivity (units/person/hour) tracked daily against target for majority of shifts.
Order-Receipt-to-Order-Acceptance time and units-per-order tracked for majority of orders.
Pick rate tracked for majority of shifts, trending toward the 13-16 second/unit/person benchmark.
NR% tracked weekly.
Shelf-level material availability tracked weekly.
Picking accuracy runs 97-99%, reviewed weekly.</t>
  </si>
  <si>
    <t xml:space="preserve">Productivity tracked in real time per picker/packer via the order management system.
Under-performance flagged same-shift.
Order-Receipt-to-Order-Acceptance time and Order-Handover-to-Delivery-Agent time tracked for over 90% of orders.
Pick rate at or within the 13-16 second/unit/person benchmark for majority of shifts.
NR% root-caused weekly.
Shelf-level material availability tracked daily with low-availability alerts.
Picking accuracy runs 99-99.5%, root-caused weekly.</t>
  </si>
  <si>
    <t xml:space="preserve">Productivity tracked in real time, benchmarked across dark stores.
Feeds automated staffing/roster adjustment.
Order-Receipt-to-Order-Acceptance time, pick rate, units per order, and Order-Handover-to-Delivery-Agent time tracked in real time end-to-end.
Pick rate consistently within the 13-16 second/unit/person benchmark.
NR% held near-zero, root-caused daily.
Shelf-level material availability tracked in real time.
Picking accuracy exceeds 99.5%, root-caused daily per picker.</t>
  </si>
  <si>
    <t xml:space="preserve">• Is a picking/packing productivity target defined and tracked (units/person/hour), and how often - real-time, daily, weekly, or not at all?
• What is the current pick rate versus the 13-16 second/unit/person benchmark?
• Are Order-Receipt-to-Order-Acceptance time and Order-Handover-to-Delivery-Agent time tracked?
• What is current picking accuracy %?
• Is Not-Received (NR) % - items unfulfillable due to shortage, expiry, or wastage - tracked and root-caused?
• Is shelf-level material availability tracked, and how frequently?</t>
  </si>
  <si>
    <t>Picker/Packer Productivity (units/person/hour); Pick Rate benchmark 13-16 seconds/unit/person across Order-Receipt-to-Acceptance, Pick, and Handover-to-Delivery-Agent segments; supported by Order Picking Accuracy %, Not-Received (NR) %, and Shelf-Level Material Availability %.</t>
  </si>
  <si>
    <t>A16.3</t>
  </si>
  <si>
    <t>Dark Store Order Fulfillment SLA</t>
  </si>
  <si>
    <t xml:space="preserve">Order fulfillment time (order-received to ready-for-rider-handover) not measured.
No defined Service Level Agreement (SLA).
Fill rate not tracked, or under 90% where estimated.
SLA breach count not tracked.
Delayed-dispatch-from-dark-store and delayed-handover-to-customer not counted separately.
No material traceability back to the shelf a pick came from.
Breaches trigger no Root Cause Analysis (RCA) or Corrective and Preventive Action (CAPA).</t>
  </si>
  <si>
    <t xml:space="preserve">A fulfillment-time target exists informally, not systematically tracked.
Fill rate runs 90-95%, reviewed monthly.
Breach count known anecdotally, not tracked as delayed-dispatch vs. delayed-handover.
Traceability to shelf, where attempted, is a manual note, kept inconsistently.
RCA done occasionally after a breach.
No CAPA or closure tracking.</t>
  </si>
  <si>
    <t xml:space="preserve">Fulfillment time tracked for majority of orders against a defined SLA (e.g., under 10-15 minutes).
Fill rate runs 95-97%, reviewed weekly.
SLA breach count tracked and split into delayed-dispatch-from-dark-store and delayed-handover-to-customer for majority of breaches.
Material traceability to shelf maintained via manual/physical log for majority of orders.
RCA conducted for majority of breaches.
CAPA and closure TAT applied inconsistently.</t>
  </si>
  <si>
    <t xml:space="preserve">Fulfillment time tracked in real time for over 90% of orders, with automated breach alerts.
Fill rate runs 97-99%, reviewed daily with root-cause on misses.
Breach counts, split into delayed-dispatch and delayed-handover, tracked in real time.
Material traceability to shelf digitized via Quick Response (QR) code scanning for majority of orders.
Every breach triggers an RCA followed by a CAPA with a defined closure TAT, met for majority of cases.</t>
  </si>
  <si>
    <t xml:space="preserve">Fulfillment time tracked in real time for 100% of orders, consistently meeting/exceeding the SLA.
Fill rate exceeds 99%, with predictive staffing adjustments during demand spikes.
Breach counts (delayed-dispatch and delayed-handover) tracked in real time, held near-zero.
Material traceability to shelf via QR-code scan covers 100% of orders.
Every breach triggers an RCA and CAPA, closure TAT met 100% of the time.
A store breaching SLAs without closing the RCA/CAPA loop cannot score here, regardless of raw SLA %.</t>
  </si>
  <si>
    <t xml:space="preserve">• Is order fulfillment time (order-received to ready-for-rider-handover) tracked against a defined SLA (e.g., under 10-15 minutes), and for what % of orders?
• What is the current fill rate %?
• Is SLA breach count split between delayed-dispatch-from-dark-store and delayed-handover-to-customer?
• Is there material traceability back to the shelf a pick came from - manual log, or Quick Response (QR) code scan?
• Does every breach trigger a Root Cause Analysis (RCA) and Corrective and Preventive Action (CAPA) with a defined closure TAT?</t>
  </si>
  <si>
    <t>Order Fulfillment Time and Fill Rate %; supported by SLA Breach Count (Delayed-Dispatch-from-Dark-Store vs. Delayed-Handover-to-Customer), Material-Traceability-to-Shelf Coverage %, and Root Cause Analysis (RCA)/Corrective and Preventive Action (CAPA) Closure TAT per breach.</t>
  </si>
  <si>
    <t>A16.4</t>
  </si>
  <si>
    <t>Dark Store Layout &amp; Zoning</t>
  </si>
  <si>
    <t xml:space="preserve">No defined zones (fast-moving/slow-moving, ambient/chilled, returns) within the dark store.
SKUs placed wherever space allows.
No velocity-based (X/Y/Z) zoning - high-velocity ('X'), medium ('Y'), low-velocity ('Z') SKUs not positioned by pick frequency.
Chilled/frozen items and leafy vegetables picked in no defined sequence.
No late-pick principle to protect temperature or reduce wilting.
No container-packing sequence - heavier and fragile/light items not deliberately positioned, causing crushing damage.
Pickers routinely search multiple areas to locate a SKU.</t>
  </si>
  <si>
    <t xml:space="preserve">Basic zones marked informally (hand-written signage), not consistently followed.
Zone adherence not audited.
X/Y/Z velocity classification, if it exists, not mapped to positioning.
Chilled/frozen and leafy items picked at the same point in the sequence as ambient items - no late-pick awareness.
Heavy-bottom/light-top container packing left to individual packer habit, not a defined rule.</t>
  </si>
  <si>
    <t xml:space="preserve">Zones defined and mapped for majority of categories.
Velocity-based placement (fast-movers near packing) applied to some SKUs.
Zone adherence audited monthly.
X/Y/Z velocity zoning applied to some SKUs, driven by pick frequency, but not the full catalog.
Chilled/frozen items and leafy vegetables picked late in sequence for some orders, inconsistently enforced.
Heavier items placed at container bottom, fragile/light on top for some orders - not a defined Standard Operating Procedure (SOP).</t>
  </si>
  <si>
    <t xml:space="preserve">Zones defined for all categories with velocity-based slotting applied to over 80% of SKUs.
Re-slotted quarterly.
Zone adherence audited weekly with corrective action on drift.
X/Y/Z zoning (high-velocity closest to packing, low-velocity furthest) covers over 80% of SKUs, positioned by pick frequency.
Chilled/frozen items and leafy vegetables sequenced as late picks for majority of orders, minimizing cold-exposure/wilting risk.
Heavy-bottom, fragile/light-top container packing followed as a defined sequence for majority of orders.</t>
  </si>
  <si>
    <t xml:space="preserve">Zones and slotting continuously optimized using real-time movement/velocity data, with automated re-slotting recommendations.
Zone adherence exceeds 95%, verified via routine audit with zero unresolved drift.
X/Y/Z velocity zoning fully pick-frequency-driven and continuously re-validated - zero arbitrary placement.
Chilled/frozen items and leafy vegetables picked last in sequence for 100% of orders, zero avoidable exposure/wilting incidents.
Heavy-bottom, fragile/light-top container packing followed on 100% of orders, zero crush-damage incidents.</t>
  </si>
  <si>
    <t xml:space="preserve">• Are zones defined (fast/slow-moving, ambient/chilled, returns), and are they followed and audited?
• Is X/Y/Z velocity-based zoning applied (high-velocity SKUs closest to packing), and for what % of SKUs?
• Are chilled/frozen items and leafy vegetables sequenced as late picks to reduce cold-exposure/wilting risk?
• Is there a defined container-packing sequence - heavy items at the bottom, fragile/light on top?
• How often is zone adherence audited, and is re-slotting done using real-time movement/velocity data?</t>
  </si>
  <si>
    <t>Zone/Slotting Adherence % = SKUs Stored in Their Designated X/Y/Z Velocity Zone / Total SKUs Audited x 100; supported by Average SKU Locate Time (seconds), Late-Pick Sequencing Adherence % for Chilled/Frozen and Leafy SKUs, and Container-Packing-Sequence Adherence %.</t>
  </si>
  <si>
    <t>Detailed dark-store layout/slotting design study recommended where zoning is undefined or velocity data is unavailable.</t>
  </si>
  <si>
    <t>A16.5</t>
  </si>
  <si>
    <t>Dark Store Replenishment &amp; Shelf Availability</t>
  </si>
  <si>
    <t>Shelf availability (on-shelf-in-stock %) is not measured; stockouts are identified only when a customer order fails or a rider/store staff notices; no defined replenishment trigger from the dark store to the warehouse.</t>
  </si>
  <si>
    <t>Shelf availability is checked manually and periodically (e.g., once a shift); replenishment requests are raised manually and irregularly; stockout duration is not tracked.</t>
  </si>
  <si>
    <t>Shelf availability is tracked via the inventory system for the majority of SKUs, reviewed at least twice daily; a defined reorder-point triggers a replenishment request for the majority of SKUs; stockout duration is tracked weekly.</t>
  </si>
  <si>
    <t>Shelf availability is tracked in real time for over 90% of SKUs with automated low-stock alerts; replenishment requests are system-generated against a min-max model for over 90% of SKUs; stockout duration is tracked daily and root-caused.</t>
  </si>
  <si>
    <t>Shelf availability is tracked in real time for 100% of SKUs and held above a defined benchmark (e.g., 98%+); replenishment is fully automated and demand-responsive; stockout incidents are rare, root-caused within the same day, and drive continuous reorder-point recalibration.</t>
  </si>
  <si>
    <t xml:space="preserve">• Is shelf availability (on-shelf-in-stock %) tracked via the inventory system, and how often - real-time, daily, manual, or not tracked?
• Is there a defined reorder-point/min-max trigger for replenishment requests, and for what % of SKUs is it system-generated?
• Is stockout duration tracked, and is it root-caused?
• Are low-stock alerts automated?</t>
  </si>
  <si>
    <t>15</t>
  </si>
  <si>
    <t>15. Dark Store Replenishment/Shelf Availability</t>
  </si>
  <si>
    <t>Shelf Availability % (On-Shelf-In-Stock) = SKUs In Stock on Shelf / Total Listed SKUs x 100; supported by Average Stockout Duration (hours) per SKU.</t>
  </si>
  <si>
    <t>A16.6</t>
  </si>
  <si>
    <t>Dark Store Capacity Adequacy</t>
  </si>
  <si>
    <t xml:space="preserve">Dark store capacity (storage positions, order-handling capacity) not documented.
No basis for knowing whether the store runs over- or under-capacity.
Overflow/congestion during peak hours common and unmanaged.
SKU mix stocked not checked against the store's demand profile.
Absolute unit count and Days of Holding (DoH) per SKU not tracked - stockout and spoilage risk for fresh produce go unmanaged.</t>
  </si>
  <si>
    <t xml:space="preserve">A rough capacity estimate exists (e.g., based on floor area), not validated against actual peak order volume.
No directional over-/under-capacity flag derived - capacity status is a guess.
SKU mix not compared to the store's demand profile.
Unit count and DoH per SKU not tracked.
Overflow incidents noticed but not logged.</t>
  </si>
  <si>
    <t xml:space="preserve">Rated capacity documented and compared against actual peak-hour volume at least monthly.
A directional over-/under-capacity flag, with magnitude (e.g., % above/below rated capacity), derived at least monthly.
SKU mix stocked checked against the store's demand profile for majority of SKUs.
Unit count and DoH per SKU tracked against a target band for majority of SKUs.
Overflow incidents logged, though root cause inconsistent.</t>
  </si>
  <si>
    <t xml:space="preserve">Capacity utilization tracked continuously against rated capacity, peak-hour utilization consistently benchmarked.
Over-/under-capacity flag and magnitude tracked continuously, feeding new dark-store sizing/expansion decisions.
SKU mix reviewed regularly against demand profile, with corrective stocking-mix action taken.
Unit count and DoH per SKU held within target band for majority of SKUs, balancing stockout risk against spoilage risk.
Overflow incidents root-caused.</t>
  </si>
  <si>
    <t xml:space="preserve">Capacity utilization tracked in real time across the dark-store network, with predictive flagging of stores approaching capacity constraints ahead of peak demand.
Over-/under-capacity flag and magnitude tracked in real time, systematically informing sizing decisions for new/expanding stores.
SKU mix continuously matched to each store's demand profile.
Unit count and DoH per SKU maintained within target band for effectively all SKUs, keeping stockout and spoilage risk both in check.
Zero unplanned overflow incidents.</t>
  </si>
  <si>
    <t xml:space="preserve">• Is dark store capacity (storage positions, order-handling capacity) documented and compared against actual peak-hour volume?
• Is a directional over-/under-capacity flag with magnitude derived, and how often?
• Is SKU mix checked against the store's demand profile?
• Are unit count and Days of Holding (DoH) per SKU tracked against a target band?
• Are overflow incidents logged and root-caused?</t>
  </si>
  <si>
    <t>Capacity Utilization % = Order Volume Handled / Rated Order-Handling Capacity x 100, with a directional Over-/Under-Capacity Flag and magnitude; supported by SKU-Mix-to-Demand-Profile Match %, Unit Count and Days of Holding (DoH) per SKU vs. target band, and Peak-Hour Overflow Incident Count.</t>
  </si>
  <si>
    <t>Detailed dark-store capacity/sizing study recommended where utilization is not documented or overflow incidents recur.</t>
  </si>
  <si>
    <t>A16.7</t>
  </si>
  <si>
    <t>Forecast-to-Replenishment Linkage</t>
  </si>
  <si>
    <t>Dark-store replenishment quantities are decided independently of the demand forecast (e.g., based on a store manager's ad hoc request); the forecast, even where it exists (A13.1), does not feed the replenishment process.</t>
  </si>
  <si>
    <t>The forecast informs replenishment for some high-velocity SKUs only, applied inconsistently; the majority of replenishment decisions still rely on manual judgment or store requests.</t>
  </si>
  <si>
    <t>The forecast feeds replenishment quantity calculation for the majority of SKUs via a defined formula (e.g., forecast demand plus safety stock minus current inventory), reviewed periodically for linkage accuracy.</t>
  </si>
  <si>
    <t>The forecast-driven replenishment formula covers over 90% of SKUs, with linkage accuracy tracked weekly and manual override rate held under a defined benchmark.</t>
  </si>
  <si>
    <t>Replenishment quantities are forecast-driven for 100% of SKUs with automated recalculation as the forecast updates, manual overrides rare and logged with reason, and linkage accuracy tracked in real time.</t>
  </si>
  <si>
    <t xml:space="preserve">• Does the demand forecast feed dark-store replenishment quantities, or are quantities decided independently (e.g., a store manager's ad hoc request)?
• What % of SKUs have replenishment quantities derived via a defined formula (forecast demand plus safety stock minus current inventory)?
• Is linkage accuracy between forecast and replenishment tracked, and how often?
• What is the manual override rate, and is it held under a defined benchmark?</t>
  </si>
  <si>
    <t>Forecast-to-Replenishment Linkage % = Replenishment Quantities Derived Directly from the Demand Forecast / Total Replenishment Quantities Generated x 100 (distinct from A13.1's forecast-accuracy KPI; this measures whether the forecast actually drives dark-store replenishment execution).</t>
  </si>
  <si>
    <t>A16.8</t>
  </si>
  <si>
    <t>Replenishment Frequency &amp; Fill Rate</t>
  </si>
  <si>
    <t>Replenishment frequency to dark stores is irregular (less than once daily on average) and not planned against SKU velocity or shelf life; fill rate is not tracked at the dark-store level.</t>
  </si>
  <si>
    <t>A nominal replenishment frequency exists (e.g., once daily) but is not consistently met; fill rate is checked only when a stockout is escalated.</t>
  </si>
  <si>
    <t>Replenishment frequency is defined and met for the majority of dark stores/days, with fill rate tracked weekly at the dark-store level.</t>
  </si>
  <si>
    <t>Replenishment frequency is tuned by SKU velocity/shelf life for the majority of SKUs, with fill rate tracked daily per dark store and held above a defined benchmark.</t>
  </si>
  <si>
    <t>Replenishment frequency is dynamically tuned by real-time velocity, shelf-life, and dark-store inventory position; fill rate is tracked in real time per dark store per SKU and consistently exceeds a defined benchmark (e.g., 97%+).</t>
  </si>
  <si>
    <t xml:space="preserve">• What is the replenishment frequency to dark stores (cycles/day), and is it planned against SKU velocity/shelf life?
• Is fill rate tracked at the dark-store level, and how often - real-time, daily, weekly, or only on escalation?
• Is replenishment frequency dynamically tuned by real-time velocity, shelf-life, and dark-store inventory position?
• Does fill rate consistently exceed a defined benchmark (e.g., 97%+)?</t>
  </si>
  <si>
    <t>Dark-Store Fill Rate % = Replenishment Quantity Received / Replenishment Quantity Required x 100; supported by Replenishment Cycle Frequency (cycles/day).</t>
  </si>
  <si>
    <t>A16.9</t>
  </si>
  <si>
    <t>Stock-out &amp; Excess Inventory Management</t>
  </si>
  <si>
    <t xml:space="preserve">Stock-out rate (% of SKUs out of stock at the dark store) not tracked - discovered only via lost-sale complaints.
Excess-inventory rate (% of SKUs holding above target Days of Inventory (DoI)/Days of Holding (DoH)) not tracked - discovered only via physical overflow or wastage.</t>
  </si>
  <si>
    <t xml:space="preserve">Stock-out rate tracked only when a stockout escalates to a complaint - no routine measurement.
Excess-inventory rate not tracked at the dark-store level; resulting wastage not systematically linked back to excess DoI/DoH.</t>
  </si>
  <si>
    <t xml:space="preserve">Stock-out rate tracked weekly at the dark-store level for majority of SKUs, against a defined target band.
Excess-inventory rate tracked weekly at the dark-store level for majority of SKUs, against a target DoI/DoH band.
Emergency replenishment trips logged.</t>
  </si>
  <si>
    <t xml:space="preserve">Stock-out rate tracked daily per dark store per SKU, root-caused (forecast error, replenishment frequency, or shelf-life) for over 90% of incidents, lost-sales impact quantified.
Excess-inventory rate tracked daily per dark store per SKU against the target DoI/DoH band, root-caused for over 90% of incidents, resulting wastage quantified.</t>
  </si>
  <si>
    <t xml:space="preserve">Stock-out rate tracked in real time per SKU, held within a tight target band, root-caused same-day.
Excess-inventory rate tracked in real time per SKU against the target DoI/DoH band, held within a tight range, root-caused same-day.
Trade-off between stock-out risk and excess-driven wastage is actively and continuously optimized across the dark-store network.</t>
  </si>
  <si>
    <t xml:space="preserve">• Is stock-out rate tracked routinely at the dark-store/SKU level, or only discovered via lost-sale complaints?
• Is excess-inventory rate tracked against a target Days of Inventory (DoI)/Days of Holding (DoH) band?
• Are stockout and excess-inventory incidents root-caused (forecast error, replenishment frequency, or shelf-life), and how quickly?
• Is resulting wastage from excess inventory quantified?
• Is the stock-out-versus-excess trade-off actively optimized across the dark-store network?</t>
  </si>
  <si>
    <t>Stock-out Rate % and Excess-Inventory Rate % at Dark Store = SKUs Stocked Out (or Carrying Excess vs. Target Days of Inventory (DoI)/Days of Holding (DoH)) / Total SKUs x 100, tracked per SKU for both rates.</t>
  </si>
  <si>
    <t>A17</t>
  </si>
  <si>
    <t>Middle-Mile Transportation</t>
  </si>
  <si>
    <t>A17.1</t>
  </si>
  <si>
    <t>Fleet Availability &amp; Adequacy</t>
  </si>
  <si>
    <t>No defined fleet plan (dry/reefer vehicle count) against dispatch volume; vehicle shortages and last-minute market/spot-hire are frequent (over 20% of trips); no backup-fleet arrangement exists.</t>
  </si>
  <si>
    <t>A fleet count exists informally, but shortages leading to spot-hire occur on 10-20% of trips; backup fleet is arranged ad hoc, after a shortage is already identified.</t>
  </si>
  <si>
    <t>Fleet size is documented against average daily dispatch volume, reviewed monthly; spot-hire/backup usage is held under 10% of trips; a defined backup-fleet vendor exists and is engaged before the shortfall causes a missed dispatch.</t>
  </si>
  <si>
    <t>Fleet size is reviewed against both average and peak dispatch volume, with dedicated and backup fleet contracted in advance; spot-hire usage is under 5% of trips, tracked and root-caused monthly.</t>
  </si>
  <si>
    <t>Fleet planning is dynamically adjusted to forecast dispatch volume (including seasonal/event peaks) with a pre-qualified backup pool on standby; spot-hire/placement-failure trips are under 1%, tracked in real time with root-cause closed within the week.</t>
  </si>
  <si>
    <t xml:space="preserve">• Is fleet size (dry/reefer vehicle count) documented against dispatch volume, and reviewed against both average and peak volume?
• What % of trips require spot-hire/market vehicles due to shortage?
• Is a backup-fleet vendor arranged in advance, or only ad hoc after a shortage occurs?
• Is fleet planning dynamically adjusted to forecast dispatch volume, including seasonal/event peaks?
• Are spot-hire/placement-failure trips root-caused, and how quickly is the root cause closed?</t>
  </si>
  <si>
    <t>12</t>
  </si>
  <si>
    <t>12. Middle Mile</t>
  </si>
  <si>
    <t>Fleet Fulfillment % = Trips Placed With Planned Vehicle / Total Planned Trips x 100; supported by Vehicle Placement Failure Count per week.</t>
  </si>
  <si>
    <t>Detailed middle-mile fleet sizing study recommended where placement-failure/spot-hire rates remain elevated after basic fleet documentation is in place.</t>
  </si>
  <si>
    <t>A17.2</t>
  </si>
  <si>
    <t>Vehicle Utilization</t>
  </si>
  <si>
    <t xml:space="preserve">Vehicle utilization not measured.
Vehicles dispatched regardless of fill level.
Crate-loaded utilization (crates actually loaded vs. rated crate capacity of the vehicle) not tracked.
Empty-running and partial-load trips common and unquantified.</t>
  </si>
  <si>
    <t xml:space="preserve">Utilization estimated occasionally (visual check), not systematically logged - by cube/weight or crate count.
Crate-loaded utilization not calculated against rated crate capacity - loading decisions made by eye.
Partial-load trips not tracked as a distinct metric.</t>
  </si>
  <si>
    <t xml:space="preserve">Utilization tracked for majority of trips via crate count or manifest weight against a target, reviewed weekly.
Crate-loaded utilization (crates loaded / rated crate capacity) tracked alongside cube/weight utilization for majority of trips.
Partial-load trip % tracked monthly.</t>
  </si>
  <si>
    <t xml:space="preserve">Utilization tracked per trip in real time for over 90% of dispatches.
Route/load consolidation applied to reduce partial loads.
Crate-loaded utilization tracked per trip alongside cube/weight utilization, both consistently at or above a defined benchmark.</t>
  </si>
  <si>
    <t xml:space="preserve">Utilization optimized dynamically (load-building/route consolidation software) across the network in real time.
Crate-loaded utilization and cube/weight utilization both tracked per trip, consistently exceeding benchmark.
Empty-running held to a documented minimum.</t>
  </si>
  <si>
    <t xml:space="preserve">• Is vehicle utilization measured (cube/weight or crate count), or are vehicles dispatched regardless of fill level?
• What is current crate-loaded utilization (crates loaded versus rated crate capacity)?
• Is utilization tracked per trip in real time, or only estimated/aggregated periodically?
• Is route/load consolidation applied to reduce partial loads and empty-running?</t>
  </si>
  <si>
    <t>Vehicle Cube/Weight Utilization % = Actual Load (Volume or Weight) / Rated Vehicle Capacity x 100; supported by Crate-Loaded Utilization % = Crates Loaded / Rated Crate Capacity of Vehicle x 100.</t>
  </si>
  <si>
    <t>A17.3</t>
  </si>
  <si>
    <t>Middle-Mile Service Levels</t>
  </si>
  <si>
    <t>On-time arrival/departure is not tracked; route adherence is not monitored; vehicle breakdown/trip cancellation is not logged as a distinct metric.</t>
  </si>
  <si>
    <t>On-time performance is reviewed informally/anecdotally; breakdowns and cancellations are known to staff but not consolidated into a report.</t>
  </si>
  <si>
    <t>On-Time Departure (OTD) and On-Time Arrival (OTA) are tracked for the majority of trips against a defined window, reviewed weekly; breakdown/cancellation rate is tracked monthly.</t>
  </si>
  <si>
    <t>OTD/OTA are tracked in real time (Global Positioning System-based) for over 90% of trips with automated delay alerts; breakdown/cancellation rate is held under a defined benchmark, root-caused monthly.</t>
  </si>
  <si>
    <t>OTD/OTA are tracked in real time across 100% of trips and consistently exceed benchmark (e.g., 95%+); breakdowns/cancellations are rare and root-caused within 24 hours, feeding preventive fleet-maintenance planning.</t>
  </si>
  <si>
    <t xml:space="preserve">• Are On-Time Departure (OTD) and On-Time Arrival (OTA) tracked, and for what % of trips?
• Is tracking Global Positioning System (GPS)-based/real-time, or manual and anecdotal?
• What is the current breakdown/cancellation rate, and is it root-caused?
• Do OTD/OTA consistently exceed a defined benchmark (e.g., 95%+)?
• Does breakdown/cancellation root-causing feed preventive fleet-maintenance planning?</t>
  </si>
  <si>
    <t>On-Time Arrival (OTA) % = Trips Arriving at Dark Store Within Committed Window / Total Trips x 100; supported by On-Time Departure (OTD) %.</t>
  </si>
  <si>
    <t>On-time arrival adherence reported at 95%, at the Level 4/Level 5 boundary; 100%-of-trips tracking coverage required for Level 5 not confirmed, scored at Level 4.</t>
  </si>
  <si>
    <t>On-time arrival adherence reported at 99%, clearly exceeding the Level 5 threshold (consistently exceeding 95%+).</t>
  </si>
  <si>
    <t>Instamart</t>
  </si>
  <si>
    <t>Benchmarking tab, 'Arrival at CH' block, row 68 (On time arrival adherence).</t>
  </si>
  <si>
    <t>A17.4</t>
  </si>
  <si>
    <t>Middle-Mile Transportation Cost</t>
  </si>
  <si>
    <t xml:space="preserve">Transportation cost tracked only in aggregate (total monthly spend).
Cost per trip/km/unit not calculated.
Dry and reefer costs not tracked separately.
No defined Warehouse-to-Dark-Store network/route plan - routes run ad hoc with no route-optimization logic behind the cost incurred.</t>
  </si>
  <si>
    <t xml:space="preserve">Cost per trip calculated periodically (monthly), not benchmarked or trended.
Dry/reefer cost split estimated, not measured.
A route plan, if it exists, is informal, not evaluated for cost or time efficiency.</t>
  </si>
  <si>
    <t xml:space="preserve">Cost per trip, per km, and per unit dispatched tracked monthly, separately for dry and reefer fleet, compared against a budget.
A basic Warehouse-to-Dark-Store route plan exists, covering majority of routes, not yet formally optimized for cost and time together.</t>
  </si>
  <si>
    <t xml:space="preserve">Cost metrics tracked weekly with variance-to-budget root-caused.
Cost per dark store also tracked to identify high-cost routes/stores.
Warehouse-to-Dark-Store network plan reviewed periodically and used to explain cost variance by route - not yet the primary driver of route design.</t>
  </si>
  <si>
    <t xml:space="preserve">Cost metrics tracked in real time/daily, benchmarked across routes and dark stores, with a documented downward cost trend.
Cost efficiency driven by a defined, documented Warehouse-to-Dark-Store network plan that optimizes routes for both cost and time.
Low cost achieved by design, not chance; the plan directly informs route/network redesign decisions.</t>
  </si>
  <si>
    <t xml:space="preserve">• Is transportation cost tracked only in aggregate, or broken down per trip, per km, and per unit?
• Are dry and reefer costs tracked separately?
• Is cost tracked per dark store to identify high-cost routes/stores?
• Is there a documented Warehouse-to-Dark-Store network/route plan optimized for both cost and time?
• Is there a documented downward cost trend, and does the network plan actively drive route/network redesign decisions?</t>
  </si>
  <si>
    <t>Cost per Trip / Cost per Km / Cost per Unit Dispatched (Rs.), tracked separately for dry and reefer fleet; benchmarked against a documented Warehouse-to-Dark-Store network/route-optimization plan.</t>
  </si>
  <si>
    <t>A17.5</t>
  </si>
  <si>
    <t>Reefer Vehicle Compliance &amp; Performance</t>
  </si>
  <si>
    <t xml:space="preserve">Reefer vehicles not temperature-logged during transit.
Pre-cooling before loading not practiced or verified.
Temperature excursions identified only if product is visibly spoiled on arrival.
No digital log exists; nothing transmitted to the Control Tower team.</t>
  </si>
  <si>
    <t xml:space="preserve">Temperature spot-checked manually at departure and/or arrival only.
Pre-cooling practiced inconsistently.
Excursions not systematically logged.
Where a log exists it is paper/local, not digital, and not shared with the Control Tower team.</t>
  </si>
  <si>
    <t xml:space="preserve">Temperature logged (manually or via a basic logger) for majority of reefer trips, reviewed daily.
Pre-cooling before loading standard practice for majority of trips.
Logging digitized for majority of trips, but reviewed only after the trip - not transmitted live to the Control Tower team.</t>
  </si>
  <si>
    <t xml:space="preserve">Temperature logged continuously via sensors for over 90% of reefer trips, with daily breach review.
Pre-cooling compliance tracked and held above a defined benchmark.
Digital temperature logs transmitted to the Control Tower team for majority of trips, though not fully live/real-time.</t>
  </si>
  <si>
    <t xml:space="preserve">Temperature logged continuously via sensors for 100% of reefer trips, with real-time breach alerts and automated escalation.
Pre-cooling compliance exceeds a defined benchmark (e.g., 98%+); reefer downtime/fuel performance also tracked and trended.
Digital temperature logs transmitted live to the Control Tower team for 100% of trips, enabling real-time in-transit intervention.</t>
  </si>
  <si>
    <t xml:space="preserve">• Are reefer vehicles temperature-logged during transit - manually, via basic logger, or continuous sensors?
• What % of reefer trips have continuous sensor-based temperature logging?
• Is pre-cooling before loading practiced and tracked, and at what compliance rate?
• Are temperature excursions/breaches auto-alerted in real time, or only discovered if product arrives spoiled?
• Are digital temperature logs transmitted live to the Control Tower team?</t>
  </si>
  <si>
    <t>Reefer Temperature Compliance % = Trip-Duration Readings Within Defined Range / Total Readings x 100; supported by Digital-Log Coverage % and Live-Transmission-to-Control-Tower Coverage %.</t>
  </si>
  <si>
    <t>A18</t>
  </si>
  <si>
    <t>Dispatch Wave Diagnostics</t>
  </si>
  <si>
    <t>A18.1</t>
  </si>
  <si>
    <t>Wave Architecture &amp; Volume Distribution</t>
  </si>
  <si>
    <t xml:space="preserve">Dispatch happens as a single unplanned wave (or ad hoc multiple waves), no defined volume split or rationale.
Wave timing not documented.
Where any logic exists, wave timing is set purely by warehouse processing convenience, not dark-store demand.</t>
  </si>
  <si>
    <t xml:space="preserve">A wave structure exists informally (e.g., 'morning and night'), volume split not measured against a plan.
Wave timing drifts day to day.
Wave timing defaults to warehouse readiness/convenience; dark-store demand signals are not a factor in scheduling.</t>
  </si>
  <si>
    <t xml:space="preserve">A defined wave architecture (number of waves, planned volume split, cutoff times) documented and followed on majority of days, reviewed monthly.
Wave timing is intended to follow dark-store demand signals, but warehouse processing bottlenecks still frequently override the schedule by default.</t>
  </si>
  <si>
    <t xml:space="preserve">Wave architecture tracked daily against plan (actual vs. planned volume split, cutoff adherence), variance root-caused weekly.
Dedicated reefer/cold-chain wave exists where applicable.
Wave timing is primarily driven by dark-store demand signals; warehouse readiness is a secondary gate, delaying a wave only as a tracked exception.</t>
  </si>
  <si>
    <t xml:space="preserve">Wave architecture dynamically reviewed against demand patterns and dark-store inventory positions, adjusted on a defined cadence (e.g., monthly or faster).
Cutoff adherence exceeds a defined benchmark (e.g., 95%+), tracked in real time.
Wave timing is fully demand-driven; warehouse processing bottlenecks influence timing only as an exception input, never the primary driver.</t>
  </si>
  <si>
    <t xml:space="preserve">• Is there a defined wave architecture (number of waves, planned volume split, cutoff times), documented and followed?
• Is wave timing primarily driven by dark-store demand signals, or by warehouse processing convenience/readiness?
• Is a dedicated reefer/cold-chain wave in place where applicable?
• Is actual-versus-planned volume split tracked daily, with variance root-caused?
• Does cutoff adherence exceed a defined benchmark (e.g., 95%+), tracked in real time?</t>
  </si>
  <si>
    <t>Wave Volume Split % = Volume Dispatched per Wave / Total Daily Dispatch Volume x 100, vs. planned split; supported by Wave-Timing-Driver Classification (Dark-Store Demand-Led vs. Warehouse-Convenience-Led).</t>
  </si>
  <si>
    <t>Detailed wave and replenishment optimization study recommended where the current wave split is not demand-validated.</t>
  </si>
  <si>
    <t>Operates a single documented daily dispatch wave with a fixed cutoff (~2:00-2:30 AM); indicates a defined, followed architecture, but no evidence of daily plan-vs-actual tracking or dynamic adjustment.</t>
  </si>
  <si>
    <t>Operates 3 distinct waves - morning (2-2:30 AM), afternoon replenishment (10 AM), and a dedicated reefer wave (2 AM) - matching this diagnostic's Level 4 example of a dedicated reefer/cold-chain wave.</t>
  </si>
  <si>
    <t>Blinkit</t>
  </si>
  <si>
    <t>Benchmarking tab, 'Dispatches' block, row 60 (Number of dispatch waves) and row 59 (cutoff time).</t>
  </si>
  <si>
    <t>A18.2</t>
  </si>
  <si>
    <t>Wave Readiness</t>
  </si>
  <si>
    <t xml:space="preserve">Wave readiness (processing complete, picking complete, staging complete, dock and manpower available) not tracked as a combined checkpoint.
Waves routinely depart late due to one or more of these not being ready.
Vehicles are placed on a fixed clock regardless of whether material is processed, packed, and allocated.</t>
  </si>
  <si>
    <t xml:space="preserve">Readiness checked informally by a supervisor shortly before cutoff.
Late departures due to readiness gaps known anecdotally, not logged by cause.
Vehicle placement still follows a fixed schedule; material-readiness state is not a placement condition.</t>
  </si>
  <si>
    <t xml:space="preserve">A defined readiness checklist (processing/picking/staging/dock/manpower) checked before each wave for majority of waves, late-departure cause logged.
Vehicle placement linked to confirmed processing, packing, and allocation status for majority of waves.
A fixed-clock fallback is still used when this check is skipped.</t>
  </si>
  <si>
    <t xml:space="preserve">Readiness tracked systematically for over 90% of waves with a live pre-cutoff dashboard.
Late-departure root causes reviewed weekly and closed.
A vehicle is placed for a wave only once material is confirmed processed, packed, and allocated, for over 90% of waves - not on a fixed clock.</t>
  </si>
  <si>
    <t xml:space="preserve">Readiness tracked in real time with predictive flagging of at-risk waves well before cutoff, allowing pre-emptive corrective action.
On-time wave departure exceeds a defined benchmark (e.g., 98%+).
Vehicle placement is gated 100% of the time on confirmed processed-packed-allocated material status - zero clock-driven placements ahead of material readiness.</t>
  </si>
  <si>
    <t xml:space="preserve">• Is a combined readiness checkpoint (processing, picking, staging, dock, manpower) checked before each wave?
• Is vehicle placement gated on confirmed processed/packed/allocated material status, or placed on a fixed clock regardless of readiness?
• What % of waves have readiness tracked systematically via a dashboard, versus checked informally by a supervisor?
• Are late-departure causes logged and root-caused?
• Is there predictive flagging of at-risk waves well ahead of cutoff?</t>
  </si>
  <si>
    <t>Wave Readiness % = Waves Departing With Processing/Picking/Staging/Dock/Manpower Fully Ready at Cutoff / Total Waves x 100; supported by Vehicle-Placement-Gated-on-Material-Readiness % (vs. fixed-clock placement).</t>
  </si>
  <si>
    <t>A18.3</t>
  </si>
  <si>
    <t>Wave-to-Demand Alignment</t>
  </si>
  <si>
    <t xml:space="preserve">Wave volumes and SKU mix not aligned to dark-store demand/inventory position.
Stock-outs at the dark store before the next wave arrives are common and untracked as a wave-design issue.
Overstocking/excess inventory at the dark store right after a wave lands is equally common and untracked.</t>
  </si>
  <si>
    <t xml:space="preserve">Misalignment noticed reactively via complaints, not measured systematically.
Pre-next-wave stock-outs known anecdotally, not logged.
Post-wave overstock/excess known anecdotally, not logged.</t>
  </si>
  <si>
    <t xml:space="preserve">Wave volume/SKU mix checked against dark-store inventory position for majority of waves before dispatch, misalignment incidents logged monthly.
Stock-out incidence between waves logged for majority of dark stores.
Overstock/excess-inventory incidence immediately after a wave lands logged for majority of dark stores.</t>
  </si>
  <si>
    <t xml:space="preserve">Wave planning incorporates dark-store inventory position, SKU velocity, and shelf-life systematically for over 90% of waves.
Emergency/off-cycle trips tracked and root-caused.
Pre-next-wave stock-out incidence tracked and root-caused for over 90% of dark stores.
Post-wave overstock/excess incidence tracked and root-caused for over 90% of dark stores.</t>
  </si>
  <si>
    <t xml:space="preserve">Wave planning dynamically driven by real-time dark-store inventory and demand signals, minimizing both under- and over-replenishment.
Emergency trips rare and root-caused, with continuous tuning of the wave-to-demand model.
Stock-outs between waves held near-zero across the network, tracked in real time.
Overstock/excess inventory immediately after a wave lands held near-zero across the network, tracked in real time.</t>
  </si>
  <si>
    <t xml:space="preserve">• Is wave volume/SKU mix checked against dark-store inventory position before dispatch?
• Are stock-outs between waves (before the next wave arrives) tracked and root-caused?
• Is post-wave overstock/excess inventory at the dark store tracked and root-caused?
• Does wave planning incorporate dark-store inventory position, SKU velocity, and shelf-life systematically?
• Are emergency/off-cycle trips tracked, and are they rare and root-caused?</t>
  </si>
  <si>
    <t>Under-Replenishment Incidence (Dark Stores Stocked Out Before the Next Wave) and Over-Replenishment Incidence (Dark Stores Carrying Excess Inventory Post-Wave), each tracked as a distinct % of Total Dark Stores Served.</t>
  </si>
  <si>
    <t>A19</t>
  </si>
  <si>
    <t>Control Tower &amp; End-to-End Visibility</t>
  </si>
  <si>
    <t>A19.1</t>
  </si>
  <si>
    <t>Inbound Visibility</t>
  </si>
  <si>
    <t xml:space="preserve">No consolidated inbound view exists.
Visibility limited to yard walks and calls to supervisors.
None of the following tracked against target:
Inbound Turnaround Time (TAT), scheduled-vs-actual arrival, scheduled-vs-actual delivery, vendor scorecards, Quality Check (QC) processing status, rejection tracking, on-hold time, cost.
Deviations not escalated to management.</t>
  </si>
  <si>
    <t xml:space="preserve">A few of the 8 data points tracked in a system.
Coverage under 40% of TAT, arrival, delivery, vendor scorecard, QC status, rejection, on-hold time, and cost.
No target-vs-actual comparison for most metrics.
Deviations reviewed only after escalation, not proactively.</t>
  </si>
  <si>
    <t xml:space="preserve">Consolidated dashboard covers 40-75% of the 8 data points.
TAT, arrival, and delivery tracked against target.
QC status and rejections visible but refreshed hourly, not live.
Deviations reviewed once per shift; escalation inconsistent.</t>
  </si>
  <si>
    <t xml:space="preserve">Consolidated dashboard covers over 75% of the 8 data points.
TAT, arrival, delivery, QC, rejection, on-hold time, and cost tracked against target.
Vendor scorecards used routinely in decisions.
Deviations auto-flagged and escalated to management same shift.</t>
  </si>
  <si>
    <t xml:space="preserve">Real-time dashboard covers 100% of the 8 data points, each tracked against target:
TAT, scheduled-vs-actual arrival, scheduled-vs-actual delivery, vendor scorecards, QC status, rejection tracking, on-hold time, cost.
Deviations auto-escalated to management in real time.
Zero data points tracked manually or off-system.</t>
  </si>
  <si>
    <t xml:space="preserve">• How many of the 8 inbound data points (Turnaround Time (TAT), scheduled-vs-actual arrival, scheduled-vs-actual delivery, vendor scorecards, Quality Check (QC) status, rejection tracking, on-hold time, cost) are tracked in a single consolidated view?
• Is the dashboard refreshed live/real-time, or only hourly or periodically?
• Are vendor scorecards used routinely in decisions?
• Are deviations auto-flagged and escalated to management, or only reviewed after a complaint/escalation?</t>
  </si>
  <si>
    <t>Inbound Visibility Coverage % = Inbound Data Points (TAT, Scheduled-vs-Actual Arrival, Scheduled-vs-Actual Delivery, Vendor Scorecards, QC Status, Rejection Tracking, On-Hold Time, Cost) Tracked Against Target in a Single View / 8 x 100.</t>
  </si>
  <si>
    <t>A19.2</t>
  </si>
  <si>
    <t>Processing Visibility</t>
  </si>
  <si>
    <t xml:space="preserve">Processing progress not visible outside the floor.
Sorting &amp; Grading (S&amp;G) progress vs. plan not tracked.
Packing progress vs. plan not tracked.
Shortfalls not linked to dispatch risk.
Processing cost not tracked.
Productivity known only at end of shift, if at all.</t>
  </si>
  <si>
    <t xml:space="preserve">S&amp;G and packing progress tracked manually, end-of-shift only.
Shortfall not flagged as a dispatch risk during the shift.
Cost tracking absent or reviewed monthly only.
Productivity numbers compiled after shift, not live.</t>
  </si>
  <si>
    <t xml:space="preserve">S&amp;G and packing progress vs. plan visible at set checkpoints (e.g., every 2 hours).
Shortfall reviewed by supervisor, not auto-linked to dispatch risk.
Processing cost tracked at shift level.
Productivity numbers available with a lag, not live.</t>
  </si>
  <si>
    <t xml:space="preserve">S&amp;G and packing progress vs. plan tracked near-real-time for over 90% of volume.
Shortfall automatically flagged as a dispatch-risk signal.
Processing cost tracked and reviewed daily.
Live productivity numbers available per stage during the shift.</t>
  </si>
  <si>
    <t xml:space="preserve">S&amp;G and packing progress vs. plan tracked in real time for 100% of volume.
Any shortfall auto-triggers a dispatch-risk alert same shift.
Processing cost tracked in real time against target.
Live productivity numbers visible per stage, refreshed continuously, not just at shift-end.</t>
  </si>
  <si>
    <t xml:space="preserve">• Is Sorting &amp; Grading (S&amp;G) and packing progress tracked against plan, and how frequently - real-time, fixed checkpoints, or end-of-shift only?
• Is a processing shortfall automatically linked to dispatch risk, or only reviewed by a supervisor after the fact?
• Is processing cost tracked in real time against target, or only at shift/monthly level?
• Are live productivity numbers available per processing stage during the shift?</t>
  </si>
  <si>
    <t>Processing Visibility Coverage % = Volume with Real-Time Progress-vs-Plan, Dispatch-Risk Linkage, Cost Tracking, and Live Productivity Data / Total Processing Volume x 100; supported by Productivity Data Refresh Interval (minutes).</t>
  </si>
  <si>
    <t>A19.3</t>
  </si>
  <si>
    <t>Inventory Visibility</t>
  </si>
  <si>
    <t xml:space="preserve">Inventory position vs. lead time not tracked.
Days of Holding (DoH)/Days of Inventory (DoI) status not tracked.
Expiry and near-expiry stock not flagged.
Ageing not tracked.
First-Expired-First-Out/First-In-First-Out (FEFO/FIFO) status not visible.
Warehouse and dark-store inventory are separate, disconnected views.
System stock not trusted or reconciled.</t>
  </si>
  <si>
    <t xml:space="preserve">Inventory position and DoH/DoI available but pulled manually, not live.
Expiry and near-expiry stock found only during periodic checks.
No automatic intimation of expiry flags.
Ageing and FEFO/FIFO status reviewed only during audits.
Warehouse and dark-store inventory remain two disconnected views.</t>
  </si>
  <si>
    <t xml:space="preserve">Inventory position vs. lead time, DoH/DoI, ageing, and FEFO/FIFO status reviewed at least daily.
Expiry and near-expiry flags generated but manually checked, not auto-intimated.
Warehouse and dark-store inventory views shared but not merged into one picture.</t>
  </si>
  <si>
    <t xml:space="preserve">Inventory position vs. lead time, DoH/DoI, ageing, and FEFO/FIFO status tracked near-real-time for over 90% of SKUs.
Expiry and near-expiry flags trigger automatic intimation to the responsible team.
Warehouse and dark-store inventory integrated into one combined view for the majority of SKUs.</t>
  </si>
  <si>
    <t xml:space="preserve">Inventory position vs. lead time, DoH/DoI, ageing, and FEFO/FIFO status tracked in real time for 100% of SKUs and locations.
Expiry and near-expiry flags auto-intimated with zero missed flags.
Warehouse and dark-store inventory fully integrated, both directions, into one combined picture.
Zero unreconciled gaps between the two views.</t>
  </si>
  <si>
    <t xml:space="preserve">• Is inventory position vs lead time, Days of Holding (DoH)/Days of Inventory (DoI), ageing, and First-Expired-First-Out/First-In-First-Out (FEFO/FIFO) status tracked, and how often - real-time, daily, or only during audits?
• Are expiry and near-expiry flags auto-intimated to the responsible team, or found only on periodic/physical checks?
• Are warehouse and dark-store inventory integrated into one combined view, or kept as two disconnected views?
• Is system stock trusted and reconciled, with zero unreconciled gaps?</t>
  </si>
  <si>
    <t>Inventory Visibility Coverage % = SKU-Locations (Warehouse Plus Dark Store, Combined View) with Real-Time Position-vs-Lead-Time, DoH/DoI, Ageing, FEFO/FIFO, and Auto-Intimated Expiry Flags / Total SKU-Locations x 100.</t>
  </si>
  <si>
    <t>A19.4</t>
  </si>
  <si>
    <t>Dispatch Visibility</t>
  </si>
  <si>
    <t xml:space="preserve">On-time-dispatch not tracked.
Crate utilization not tracked.
Vehicle utilization not tracked.
Cost per unit and cost per kilometre not tracked.
No breakdown by dark store or by warehouse.
Missed dispatches discovered only after cutoff.</t>
  </si>
  <si>
    <t xml:space="preserve">On-time-dispatch checked manually, close to cutoff.
Crate and vehicle utilization not tracked.
Cost per unit / cost per kilometre not tracked.
Whatever data exists is aggregate only.</t>
  </si>
  <si>
    <t xml:space="preserve">On-time-dispatch, crate utilization, and vehicle utilization tracked and reviewed daily.
Cost per unit and cost per kilometre tracked at aggregate level.
Breakdown by dark store and by warehouse available for the majority of sites.</t>
  </si>
  <si>
    <t xml:space="preserve">On-time-dispatch, crate utilization, and vehicle utilization tracked near-real-time for over 90% of dispatches.
Cost per unit and cost per kilometre tracked per dark store and per warehouse.
At-risk dispatches flagged before cutoff.</t>
  </si>
  <si>
    <t xml:space="preserve">On-time-dispatch, crate utilization, and vehicle utilization tracked in real time for 100% of dispatches.
Cost per unit and cost per kilometre tracked per dark store and per warehouse, refreshed continuously.
Predictive at-risk flagging well ahead of cutoff.
Missed/delayed/short-shipment incidents rare, root-caused same day.</t>
  </si>
  <si>
    <t xml:space="preserve">• Is on-time-dispatch tracked, and how - real-time, daily, manually near cutoff, or not at all?
• Are crate utilization and vehicle utilization tracked per dispatch?
• Is cost per unit and cost per kilometre tracked only in aggregate, or broken down per dark store and per warehouse?
• Are at-risk dispatches flagged before cutoff - proactively/predictively, or only discovered after cutoff?
• Are missed/delayed/short-shipment incidents rare and root-caused the same day?</t>
  </si>
  <si>
    <t>Dispatch Visibility Coverage % = Dispatches with Real-Time On-Time-Dispatch, Crate Utilization, Vehicle Utilization, and Cost-per-Unit/Cost-per-Kilometre Data (by Dark Store and by Warehouse) / Total Dispatches x 100.</t>
  </si>
  <si>
    <t>A19.5</t>
  </si>
  <si>
    <t>Middle-Mile Visibility</t>
  </si>
  <si>
    <t xml:space="preserve">No visibility into vehicle location after departure.
No real-time temperature tracking.
No Estimated Time of Arrival (ETA) tracking.
Breakdowns and delays discovered only when the dark store calls.
Cost per unit / cost per kilometre not tracked.</t>
  </si>
  <si>
    <t xml:space="preserve">Departure logged but no live location or ETA tracking.
Temperature logged separately, not integrated, not real-time.
Breakdowns and delays identified only on arrival.
Cost per unit / cost per kilometre not tracked by site.</t>
  </si>
  <si>
    <t xml:space="preserve">Vehicle location and ETA tracked for the majority of trips, checked periodically.
Temperature logged but reviewed separately, not in the same view.
Cost per unit / cost per kilometre tracked at aggregate level.</t>
  </si>
  <si>
    <t xml:space="preserve">Real-time vehicle location, ETA, and temperature tracked in one view for over 90% of trips.
Breakdown and delay alerts generated automatically.
Cost per unit / cost per kilometre tracked per dark store and per warehouse.</t>
  </si>
  <si>
    <t xml:space="preserve">Real-time vehicle location, ETA, and temperature tracked in one view for 100% of trips.
Breakdowns and delays auto-escalated to operations and the receiving dark store.
Cost per unit / cost per kilometre tracked per dark store and per warehouse, refreshed continuously.</t>
  </si>
  <si>
    <t xml:space="preserve">• Is vehicle location tracked live after departure, or only logged at departure with no live tracking?
• Is Estimated Time of Arrival (ETA) tracked, and for what % of trips?
• Is temperature tracked in the same view as location/ETA, or logged separately and reviewed apart?
• Are breakdowns and delays auto-alerted, or only discovered when the dark store calls?
• Is cost per unit/cost per kilometre tracked per dark store and per warehouse?</t>
  </si>
  <si>
    <t>Middle-Mile Visibility Coverage % = Trips with Real-Time Location, ETA, and Temperature Tracking / Total Trips x 100; supported by Cost per Unit and Cost per Kilometre, Tracked by Dark Store and by Warehouse.</t>
  </si>
  <si>
    <t>A19.6</t>
  </si>
  <si>
    <t>Dark-Store Visibility</t>
  </si>
  <si>
    <t xml:space="preserve">Material receiving status not visible to warehouse ops.
Goods Receipt Note (GRN) status not tracked.
Putaway status not tracked.
Available inventory not checked against the planogram.
Expired and near-expiry inventory not flagged.
Pick, dispatch, and handover delays not tracked.
No exception-flow tracking.
No defined pick path, or adherence not tracked.
First sign of a problem is a stockout complaint.</t>
  </si>
  <si>
    <t xml:space="preserve">Receiving, GRN, and putaway status shared periodically, not live.
Inventory-vs-planogram checks done only during audits.
Expired/near-expiry inventory found only on physical checks.
Pick, dispatch, and handover delays logged after the fact.
Pick path exists informally; adherence not tracked.</t>
  </si>
  <si>
    <t xml:space="preserve">Consolidated view of receiving, GRN, putaway, and inventory-vs-planogram reviewed daily for most stores.
Expired/near-expiry inventory flagged during daily checks.
Pick, dispatch, and handover delays tracked and reviewed daily.
Exceptions logged but not systematically routed.
Defined pick path exists; adherence spot-checked.</t>
  </si>
  <si>
    <t xml:space="preserve">Receiving, GRN, putaway, inventory-vs-planogram, and expiry status tracked near-real-time for over 90% of dark stores.
Pick, dispatch, and handover delays flagged as they occur.
Exceptions routed through a defined flow.
Pick-path adherence tracked for the majority of pickers.</t>
  </si>
  <si>
    <t xml:space="preserve">Receiving, GRN, putaway, inventory-vs-planogram, and expiry status tracked in real time across 100% of dark stores.
Pick, dispatch, and handover delays auto-flagged the moment they occur.
Exception flows fully systemized with defined ownership.
Pick path defined for every picker, with adherence tracked in real time.</t>
  </si>
  <si>
    <t xml:space="preserve">• Is receiving, Goods Receipt Note (GRN), and putaway status visible to warehouse ops in real time, or only shared periodically?
• Is available inventory checked against the planogram, and how often?
• Are expired/near-expiry items flagged systematically, or only found on physical checks?
• Are pick, dispatch, and handover delays flagged as they occur, or only logged after the fact?
• Is there a defined pick path, and is adherence tracked - spot-checked versus real-time?
• Are exceptions routed through a defined flow with clear ownership?</t>
  </si>
  <si>
    <t>Dark-Store Visibility Coverage % = Dark Stores with Real-Time Receiving/GRN/Putaway/Inventory-vs-Planogram/Expiry/Delay/Exception Data / Total Dark Stores x 100; supported by Pick-Path Adherence % = Picks Following Defined Path / Total Picks x 100.</t>
  </si>
  <si>
    <t>A19.7</t>
  </si>
  <si>
    <t>Control Tower Maturity (Exception Management &amp; Decision-Making)</t>
  </si>
  <si>
    <t xml:space="preserve">No consolidated control tower exists across the inbound-to-dark-store chain.
Dashboards, where they exist, are siloed by function.
No cross-referencing between functions.
Exceptions identified only through escalation calls.</t>
  </si>
  <si>
    <t xml:space="preserve">Function-level dashboards exist (e.g., inbound, dispatch).
Not integrated into one view.
Refresh frequency inconsistent, daily or slower.
Exception ownership and escalation informal.</t>
  </si>
  <si>
    <t xml:space="preserve">Cross-functional control-tower view exists.
Refreshed a few times a day.
Defined ownership for each exception type.
Root-cause tracking manual (e.g., a shared spreadsheet).</t>
  </si>
  <si>
    <t xml:space="preserve">Control tower refreshes near-real-time.
Exceptions auto-flagged against defined thresholds.
Routed to a named owner with a Service Level Agreement (SLA).
Closure tracked; trend analysis reviewed weekly.</t>
  </si>
  <si>
    <t xml:space="preserve">Control tower operates real-time end-to-end, vendor through dark-store shelf availability.
Automated exception alerts with defined escalation paths.
Closed-loop action tracking.
Predictive flagging (e.g., dock congestion, stock-out risk) ahead of occurrence.
Demonstrably changes operating decisions.</t>
  </si>
  <si>
    <t xml:space="preserve">• Does a consolidated, cross-functional control-tower view exist across the inbound-to-dark-store chain, or are dashboards siloed by function?
• How frequently does the view refresh - real-time, near-real-time, a few times a day, or daily/slower?
• Are exceptions auto-flagged against defined thresholds and routed to a named owner with a Service Level Agreement (SLA)?
• Is exception closure tracked, with root-cause/trend analysis reviewed on a regular cadence?
• Does the control tower demonstrably change operating decisions (e.g., predictive flagging of dock congestion or stock-out risk)?</t>
  </si>
  <si>
    <t>Exception-to-Closure Cycle Time (hours) = Action-Closed Timestamp minus Exception-Raised Timestamp; supported by % of Flagged Exceptions Closed Within SLA.</t>
  </si>
  <si>
    <t>A19.8</t>
  </si>
  <si>
    <t>Crate Return Visibility</t>
  </si>
  <si>
    <t xml:space="preserve">Crate returns from dark store to warehouse not tracked.
No pendency count of overdue crates.
No ageing of overdue crates.
Crates retained at dark stores for storage use, undetected.
Warehouse runs short of crates for dispatch, with no early warning.</t>
  </si>
  <si>
    <t xml:space="preserve">Crate returns tracked manually, reviewed only when a shortage occurs.
Pendency count exists but not ageing.
No regular flagging; issues surface only as a crisis.</t>
  </si>
  <si>
    <t xml:space="preserve">Pendency count and ageing of overdue crates tracked and reviewed periodically (e.g., weekly).
Crates retained at dark stores flagged during periodic checks.
Warehouse crate-shortage risk reviewed reactively.</t>
  </si>
  <si>
    <t xml:space="preserve">Pendency count and ageing tracked near-real-time for over 90% of dark stores.
Overdue crates (beyond a defined number of days) auto-flagged regularly.
Warehouse crate-shortage risk flagged proactively before it hits dispatch.</t>
  </si>
  <si>
    <t xml:space="preserve">Pendency count and ageing tracked in real time for 100% of dark stores.
Overdue crates auto-flagged the moment they cross the defined threshold.
Zero crates retained at dark stores for storage use, undetected.
Warehouse crate availability for dispatch protected; zero shortage incidents traced to untracked returns.</t>
  </si>
  <si>
    <t xml:space="preserve">• Are crate returns from dark store to warehouse tracked, and how - real-time, periodic, manual, or not tracked?
• Is pendency count and ageing of overdue crates tracked?
• Are overdue crates (beyond a defined day threshold) auto-flagged?
• Is crate retention at dark stores for storage use detected?
• Is warehouse crate-shortage risk for dispatch flagged proactively before it causes a shortfall?</t>
  </si>
  <si>
    <t>Crate Return Pendency % = Crates Overdue for Return from Dark Store / Total Crates Issued to that Dark Store x 100; supported by Average Overdue Ageing (days).</t>
  </si>
  <si>
    <t>A19.9</t>
  </si>
  <si>
    <t>Order Management System (OMS) Visibility</t>
  </si>
  <si>
    <t xml:space="preserve">Sales Order (SO) and Purchase Order (PO) status not visible on one dashboard.
Order details scattered across systems.
Inventory status not tied to the order.
Order fulfillment status not tracked.
SO journey from receipt to closure not visible.
PO status not tracked centrally.</t>
  </si>
  <si>
    <t xml:space="preserve">SO and PO details available in the source system, not consolidated.
Inventory status checked separately from the order.
Fulfillment status known only at closure, not during the journey.</t>
  </si>
  <si>
    <t xml:space="preserve">Consolidated dashboard shows SO and PO details, inventory status, and fulfillment status for the majority of orders.
SO journey (receipt to closure) visible but refreshed periodically.
PO status tracked but reviewed manually.</t>
  </si>
  <si>
    <t xml:space="preserve">Consolidated dashboard shows SO/PO details, inventory status, and fulfillment status near-real-time for over 90% of orders.
Full SO journey from receipt to closure tracked on one dashboard.
PO status and management tracked centrally with exceptions flagged.</t>
  </si>
  <si>
    <t xml:space="preserve">Single dashboard shows the SO and PO lifecycle in real time for 100% of orders.
Covers order details, inventory status, fulfillment status, full journey from receipt to closure, PO status and management.
No order data scattered across separate systems.
Exceptions in either journey auto-flagged.</t>
  </si>
  <si>
    <t xml:space="preserve">• Are Sales Order (SO) and Purchase Order (PO) status visible on one consolidated dashboard, or scattered across systems?
• Is inventory status tied to the order, or checked separately?
• Is the full SO journey (receipt to closure) tracked in real time, or refreshed only periodically?
• Is PO status tracked centrally, with exceptions flagged?
• What % of orders have this near-real-time/real-time visibility?</t>
  </si>
  <si>
    <t>OMS Visibility Coverage % = Sales Orders and Purchase Orders with Real-Time Order Details, Inventory Status, and Fulfillment Status Visible on a Single Dashboard / Total Orders x 100.</t>
  </si>
  <si>
    <t>A20</t>
  </si>
  <si>
    <t>Warehouse Management System (WMS) &amp; Digital-Physical Integration</t>
  </si>
  <si>
    <t>A20.1</t>
  </si>
  <si>
    <t>Transaction Coverage Across End-to-End Flow</t>
  </si>
  <si>
    <t xml:space="preserve">Under 30% of process steps captured digitally in the Warehouse Management System (WMS).
Most steps rely on paper registers or verbal handover.
No transaction discipline; steps skipped or logged late.
Process traceability broken across most of the 12 WMS capability areas.</t>
  </si>
  <si>
    <t xml:space="preserve">30-55% of steps digitally captured.
Core steps (e.g., GRN, dispatch) in the system; sorting, grading, putaway, staging often not.
Transaction timing inconsistent; entries made well after the physical event.
Process traceability exists for only a few of the 12 WMS capability areas.</t>
  </si>
  <si>
    <t xml:space="preserve">55-75% of steps digitally captured, covering the majority of inbound and outbound steps.
Some intermediate processing steps remain manual/paper-based.
Transaction discipline (logging at the time of the event) enforced for most steps.
Process traceability covers most, not all, of the 12 WMS capability areas.</t>
  </si>
  <si>
    <t xml:space="preserve">75-90% of steps digitally captured, with defined exception workflows for the remainder.
Manual workarounds documented and monitored.
Transaction discipline enforced across the majority of steps; late entries flagged.
Process traceability spans nearly all 12 WMS capability areas.
Digitization has not slowed any process step versus its paper predecessor.</t>
  </si>
  <si>
    <t xml:space="preserve">Over 90% of steps digitally captured end-to-end, vendor Advance Shipping Notice (ASN) to dark-store receipt.
Zero undocumented manual workarounds.
Digital record is the single source of truth for every stage.
Transaction discipline and process traceability complete across all 12 WMS capability areas.
Digitization is faster or equal to the paper process it replaced, never slower, never more manual.</t>
  </si>
  <si>
    <t xml:space="preserve">• What % of the 19 end-to-end process steps (vendor Advance Shipping Notice (ASN) to dark-store receipt) are captured digitally in the Warehouse Management System (WMS)?
• Which steps still run on paper registers or verbal handover?
• Are entries logged at the moment of the physical event, or backfilled later?
• How many of the 12 WMS capability areas have broken traceability?
• Is digitization faster than, equal to, or slower than the paper process it replaced?</t>
  </si>
  <si>
    <t>Digital Transaction Coverage % = Process Steps (Vendor ASN, Gate, Dock, Receiving, QC, GRN, Sorting, Grading, Packing, Putaway, Storage, Replenishment, Allocation, Picking, Staging, Loading, Dispatch, Dark-Store Receipt, Returns) Digitally Captured in WMS / 19 Total Process Steps x 100; the umbrella coverage metric across all 12 WMS capability modules.</t>
  </si>
  <si>
    <t>A20.2</t>
  </si>
  <si>
    <t>Scan/RF Discipline &amp; Data Capture Quality</t>
  </si>
  <si>
    <t xml:space="preserve">Barcode/Radio Frequency (RF) scanning not used, or used inconsistently, at any stage.
Data entry manual and keystroke-driven.
No way to detect missing or duplicate scans.</t>
  </si>
  <si>
    <t xml:space="preserve">Scanning used at 1-2 stages (e.g., GRN, dispatch).
Manual entry common elsewhere.
Missing/duplicate scans not systematically tracked.</t>
  </si>
  <si>
    <t xml:space="preserve">Scanning used at the majority of stages requiring a unique identifier match.
Scan compliance tracked monthly.
Missing/duplicate scan incidents reviewed periodically.</t>
  </si>
  <si>
    <t xml:space="preserve">Scan compliance exceeds 90% across the majority of stages.
Tracked weekly.
Missing/duplicate scans flagged as exceptions and root-caused.</t>
  </si>
  <si>
    <t xml:space="preserve">Scan compliance exceeds 98% end-to-end.
Tracked in real time.
Non-value-added/redundant re-confirmation scans eliminated through process redesign.</t>
  </si>
  <si>
    <t xml:space="preserve">• Is barcode/Radio Frequency (RF) scanning used at every stage needing a unique identifier match, or is manual keystroke entry common?
• What is current scan compliance %, and how often is it reviewed (never / monthly / weekly / real time)?
• Are missing or duplicate scans systematically tracked and root-caused?
• Are there redundant re-confirmation scans that could be designed out?</t>
  </si>
  <si>
    <t>Scan Compliance % = Transactions Completed via Barcode/RF Scan / Total Transactions Requiring a Scan x 100; supported by Duplicate/Missing Scan Rate %.</t>
  </si>
  <si>
    <t>A20.3</t>
  </si>
  <si>
    <t>System Latency &amp; Real-Time Data Accuracy</t>
  </si>
  <si>
    <t xml:space="preserve">System inventory updates lag the physical transaction by hours, or need manual batch upload.
Inventory accuracy (system vs. physical stock) not measured.
Location accuracy (system location vs. actual) not measured.
Batch accuracy (system batch vs. actual) not measured.
System stock routinely out of step with physical stock.</t>
  </si>
  <si>
    <t xml:space="preserve">Updates occur on a periodic batch cycle (e.g., every few hours).
Inventory, location, and batch accuracy checked only during periodic audits.
Users work around the lag with informal manual trackers.</t>
  </si>
  <si>
    <t xml:space="preserve">Updates occur near-real-time (e.g., within 15-30 minutes) for the majority of transaction types.
Inventory accuracy, location accuracy, and batch accuracy each tracked as a distinct metric.
Accuracy reviewed periodically as a system-performance KPI.</t>
  </si>
  <si>
    <t xml:space="preserve">Updates occur under 5 minutes for over 90% of transaction types.
Inventory accuracy, location accuracy, and batch accuracy each exceed a defined benchmark (e.g., 98%+).
Downtime/latency incidents logged and reviewed.</t>
  </si>
  <si>
    <t xml:space="preserve">Updates are real-time (seconds) across all transaction types.
Inventory accuracy, location accuracy, and batch accuracy each exceed 99%+, tracked continuously.
Uptime exceeds 99.5%+ with a documented downtime/incident response process.</t>
  </si>
  <si>
    <t xml:space="preserve">• How long after a physical transaction does the system reflect it - hours/batch upload, 15-30 minutes, under 5 minutes, or real time?
• Are inventory accuracy, location accuracy, and batch accuracy each tracked as distinct metrics? What are the current %?
• Is accuracy reviewed only during periodic audits, or continuously as a system KPI?
• What is system uptime, and is there a documented downtime/incident-response process?</t>
  </si>
  <si>
    <t>Inventory Update Latency (minutes) = Time Between Physical Transaction and System Reflecting It; supported by Inventory Accuracy %, Location Accuracy %, and Batch Accuracy % (each = System-Matching Records / Total Records Counted x 100).</t>
  </si>
  <si>
    <t>A20.4</t>
  </si>
  <si>
    <t>System Integration (ERP/OMS/TMS/Control Tower/Finance)</t>
  </si>
  <si>
    <t xml:space="preserve">WMS operates standalone.
No automatic connection to Enterprise Resource Planning (ERP), Order Management System (OMS), Transport Management System (TMS), Control Tower, or Finance.
Someone manually re-types or re-uploads data between systems, or it is not shared at all.</t>
  </si>
  <si>
    <t xml:space="preserve">One or two systems connected (e.g., WMS to ERP for stock value).
Data moves as a daily file transfer, not automatically.
Someone still checks and reconciles it by hand.</t>
  </si>
  <si>
    <t xml:space="preserve">Most core systems connected on a set schedule (e.g., every hour).
Data still needs some manual reconciliation.
Mismatches are tracked.</t>
  </si>
  <si>
    <t xml:space="preserve">Most core systems connected automatically, near-real-time.
Minimal manual re-entry needed.
Mismatches flagged and reconciled automatically.</t>
  </si>
  <si>
    <t xml:space="preserve">All five core systems (ERP, OMS, TMS, Control Tower, Finance) connected automatically in real time.
No one manually re-types or re-uploads data between systems.
Mismatches are rare, auto-flagged, and closed the same day.</t>
  </si>
  <si>
    <t xml:space="preserve">• Which of the five core systems - Enterprise Resource Planning (ERP), Order Management System (OMS), Transport Management System (TMS), Control Tower, Finance - are connected to the WMS?
• Is data exchange automatic/real-time, or a scheduled/daily file transfer needing manual reconciliation?
• Does anyone manually re-type or re-upload data between systems?
• How are mismatches flagged, and how quickly are they closed?</t>
  </si>
  <si>
    <t>Integration Coverage % = Core Systems (ERP, OMS, TMS, Control Tower, Finance) Connected to WMS Without Manual Re-Entry / 5 Total Core Systems x 100.</t>
  </si>
  <si>
    <t>A20.5</t>
  </si>
  <si>
    <t>Exception Handling, Overrides, Approval Flow &amp; Audit Trail</t>
  </si>
  <si>
    <t xml:space="preserve">System overrides (manual stock adjustments, forced transaction completion) possible without approval or a logged reason.
No audit trail of who changed what and why.
No role-based access control; any user can perform any transaction.
Approval flow, if any, is a single fixed rule, not matched to the organization's structure.</t>
  </si>
  <si>
    <t xml:space="preserve">Overrides possible, occasionally logged in a separate register.
Not enforced or reconciled against the system log.
Access control minimal; most users have broad system rights.
Approval flow generic, not aligned to who owns each decision.</t>
  </si>
  <si>
    <t xml:space="preserve">Overrides require supervisor approval for the majority of transaction types.
System-logged reason captured for the majority of overrides.
Every transaction tied to a named user for the majority of transaction types.
Role-based access control defined for key roles.
Approval flow reflects the organization's hierarchy for most transaction types.</t>
  </si>
  <si>
    <t xml:space="preserve">Overrides require system-enforced approval workflows for over 90% of transaction types.
Every transaction tied to a named user and timestamp for over 90% of transactions.
Role-based access control enforced across the majority of the system.
Approval flow mapped to the organization's structure and process, not a single fixed rule.
Override rate tracked weekly and root-caused when above threshold.</t>
  </si>
  <si>
    <t xml:space="preserve">Overrides exception-only, system-enforced, fully logged with reason codes.
Every transaction tied to a named user and timestamp, 100% of the time.
Role-based access control enforced end-to-end; access matches role, nothing more.
Approval flow fully structured around the organization's hierarchy and process, reviewed as a standing control.
Complete, tamper-evident audit trail; override rate held under a defined benchmark.</t>
  </si>
  <si>
    <t xml:space="preserve">• Can a user make a manual stock adjustment or override a transaction without approval or a logged reason?
• What % of overrides require system-enforced approval with a captured reason code?
• Is every transaction tied to a named user and timestamp - what %?
• Is role-based access control defined and enforced to match the organization's structure?
• Is manual override rate tracked and root-caused when above threshold?</t>
  </si>
  <si>
    <t>Manual Override Rate % = Transactions Requiring a Manual Override / Total Transactions x 100; supported by Audit Trail Completeness % = Transactions with Named User, Timestamp, and Reason Code / Total Transactions x 100.</t>
  </si>
  <si>
    <t>A20.6</t>
  </si>
  <si>
    <t>Traceability &amp; Genealogy</t>
  </si>
  <si>
    <t xml:space="preserve">Inbound traceability (Purchase Order (PO) to Goods Receipt Note (GRN) to Batch to Location) not maintained.
Outbound traceability (Order to Pick to Pack to Shipment) not maintained.
No end-to-end genealogy from vendor lot to customer/store.
Fruits &amp; Vegetables (FnV) transformation genealogy (raw material to processed to packed) not tracked.
No containerization mapping (SKU to crate to pallet/tote).
Returns traceability (return to inspection to disposition) not maintained.
Cannot trace a batch forward or backward; no recall readiness.</t>
  </si>
  <si>
    <t xml:space="preserve">Inbound and outbound traceability exist as separate manual records, not linked end-to-end.
Genealogy from vendor lot to store reconstructable only through manual effort.
FnV transformation genealogy tracked inconsistently.
Containerization mapping and returns traceability exist for a few SKUs only.
Recall trace would take days and rely on manual record search.</t>
  </si>
  <si>
    <t xml:space="preserve">Inbound traceability (PO-GRN-Batch-Location) and outbound traceability (Order-Pick-Pack-Shipment) tracked in-system for the majority of transactions.
End-to-end genealogy reconstructable for the majority of batches, with some manual linking.
FnV transformation genealogy tracked for the majority of processed SKUs.
Containerization mapping and returns traceability tracked for the majority of movements.
Recall trace possible within a defined window (e.g., same day) with some manual effort.</t>
  </si>
  <si>
    <t xml:space="preserve">Inbound and outbound traceability system-linked for over 90% of transactions.
End-to-end genealogy (vendor lot to customer/store) automatically reconstructable for over 90% of batches.
FnV transformation genealogy tracked for over 90% of processed SKUs.
Containerization mapping and returns traceability tracked for over 90% of movements.
Recall trace completed within a few hours, largely system-driven.</t>
  </si>
  <si>
    <t xml:space="preserve">Inbound traceability (PO-GRN-Batch-Location) and outbound traceability (Order-Pick-Pack-Shipment) fully system-linked for 100% of transactions.
End-to-end genealogy from vendor lot to customer/store reconstructable in minutes for any batch.
FnV transformation genealogy tracked for 100% of processed SKUs.
Containerization mapping complete for 100% of movements.
Returns traceability complete for 100% of returns.
Recall-ready: any batch traced forward and backward within a defined target time (e.g., under 1 hour).</t>
  </si>
  <si>
    <t xml:space="preserve">• Can a batch be traced end-to-end from vendor lot to customer/store today, and how long would that take (days, hours, minutes)?
• Are inbound (Purchase Order (PO)-Goods Receipt Note (GRN)-Batch-Location) and outbound (Order-Pick-Pack-Shipment) traceability linked in-system, or reconstructed manually?
• Is Fruits &amp; Vegetables (FnV) transformation genealogy (raw material to processed to packed) tracked?
• Is containerization mapping (SKU to crate to pallet/tote) and returns traceability in place, and for what % of movements?
• What is the current recall trace time?</t>
  </si>
  <si>
    <t>Traceability Coverage % = Transactions/Batches with Complete Inbound (PO-GRN-Batch-Location), Outbound (Order-Pick-Pack-Shipment), and End-to-End Genealogy Captured in System / Total Transactions/Batches x 100; supported by Recall Trace Time (hours).</t>
  </si>
  <si>
    <t>A20.7</t>
  </si>
  <si>
    <t>Cycle Count Automation &amp; Inventory Status Control</t>
  </si>
  <si>
    <t xml:space="preserve">No cycle-count schedule; counts happen ad hoc, if at all.
No visibility into counts completed vs. missed.
FEFO/FIFO not enforced or recommended by the system; picker discretion decides.
Good/Hold/Damaged/Expired stock labeled but not genuinely segregated; can still be picked or shipped by mistake.
Inventory adjustments possible by any user with no approval.</t>
  </si>
  <si>
    <t xml:space="preserve">Cycle counts scheduled informally, tracked on a spreadsheet.
Misses not systematically flagged.
FEFO/FIFO advisory only; frequently overridden without reason.
Status segregation exists on paper/labels but not enforced by the system.
Adjustment approval exists but is not consistently followed.</t>
  </si>
  <si>
    <t xml:space="preserve">Automated cycle-count schedule in place, covering the majority of SKUs/locations.
Counts-completed-vs-missed status visible, reviewed periodically.
FEFO/FIFO recommended by the system for the majority of picks.
Good/Hold/Damaged/Expired segregated in the system for the majority of SKUs.
Adjustment approval required for the majority of transaction types.</t>
  </si>
  <si>
    <t xml:space="preserve">Automated cycle-count schedule covers over 90% of SKUs/locations.
Real-time status of counts completed vs. missed, with misses flagged same day.
FEFO/FIFO system-enforced (not just advisory) for over 90% of picks.
Good/Hold/Damaged/Expired genuinely segregated in the system for over 90% of SKUs, blocking mis-picks.
Unauthorized adjustments structurally prevented for over 90% of transaction types.</t>
  </si>
  <si>
    <t xml:space="preserve">Automated cycle-count schedule covers 100% of SKUs/locations, with real-time counts-completed-vs-missed status and zero unexplained misses.
FEFO/FIFO fully system-enforced across all picks; override requires a logged reason.
Good/Hold/Damaged/Expired fully segregated in the system; a cross-status mis-pick is structurally impossible.
Unauthorized inventory adjustments structurally prevented end-to-end; every adjustment requires approval and a reason code.</t>
  </si>
  <si>
    <t xml:space="preserve">• Is there an automated cycle-count schedule, and what % of SKUs/locations does it cover?
• Is First-Expired-First-Out (FEFO)/First-In-First-Out (FIFO) system-enforced, or just advisory and left to picker discretion?
• Are Good/Hold/Damaged/Expired statuses genuinely segregated in the system so a mis-pick is structurally blocked, or just labeled?
• Can any user make an inventory adjustment without approval and a reason code?
• What % of scheduled counts complete on time, and are misses flagged same day?</t>
  </si>
  <si>
    <t>Cycle Count Completion % = Scheduled Cycle Counts Completed On Time / Total Scheduled Cycle Counts x 100; supported by FEFO/FIFO Adherence % and Unauthorized Adjustment Rate % (Adjustments Without Approval / Total Adjustments x 100).</t>
  </si>
  <si>
    <t>A20.8</t>
  </si>
  <si>
    <t>Downtime Contingency &amp; Reporting</t>
  </si>
  <si>
    <t xml:space="preserve">No defined fallback process for WMS, network, or scanner downtime.
Operations either stop entirely or revert to untracked paper with no reconciliation plan.
Digital records/attachments not retained systematically.
No regular Key Performance Indicator (KPI) reporting.</t>
  </si>
  <si>
    <t xml:space="preserve">Informal fallback exists (verbal instruction) but not documented or trained on.
Paper workaround used during downtime, reconciled inconsistently afterward.
Documentation retained for some transactions only.
KPI reporting compiled manually, infrequently.</t>
  </si>
  <si>
    <t xml:space="preserve">Documented fallback process exists for WMS/network/scanner downtime, with a defined reconciliation step afterward.
Documentation (digital records, attachments) retained for the majority of transactions.
KPI reporting available on a defined cadence (e.g., weekly).</t>
  </si>
  <si>
    <t xml:space="preserve">Fallback process documented, trained on, and tested; reconciliation completed within a defined window after downtime ends.
Documentation retained for over 90% of transactions.
KPI reporting available near-real-time on a dashboard.</t>
  </si>
  <si>
    <t xml:space="preserve">Fallback process documented, trained on, and regularly tested; zero data loss on reconciliation after any downtime event.
Documentation retained for 100% of transactions, fully retrievable.
KPI reporting real-time, self-serve, covering all operational KPIs without manual compilation.</t>
  </si>
  <si>
    <t xml:space="preserve">• Is there a documented fallback process for WMS/network/scanner downtime, and has it been trained on and tested?
• During downtime, does the operation stop, or revert to paper with a defined reconciliation step afterward?
• What % of transactions retain a documentation/digital record?
• How is Key Performance Indicator (KPI) reporting compiled - manual and infrequent, or real-time self-serve?
• What is typical downtime recovery time, and has any downtime event caused data loss on reconciliation?</t>
  </si>
  <si>
    <t>Downtime Recovery Time (hours) = Time from WMS/Network/Scanner Outage to Fully Reconciled System State; supported by Documentation Completeness % = Transactions with Retained Digital Record / Total Transactions x 100.</t>
  </si>
  <si>
    <t>A21</t>
  </si>
  <si>
    <t>Material Handling Equipment (MHE) &amp; Internal Movement</t>
  </si>
  <si>
    <t>A21.1</t>
  </si>
  <si>
    <t>MHE Fleet Adequacy</t>
  </si>
  <si>
    <t xml:space="preserve">No documented basis for MHE count/type deployed (hand pallet trucks, battery-operated pallet trucks, forklifts, reach trucks, stackers).
MHE count not benchmarked against volume or any defined industry standard.
No charging-station count check vs. fleet size; wait-for-charger incidents not tracked.
No dedicated MHE storage/parking space.
Operators wait for equipment, or equipment sits idle - neither tracked.</t>
  </si>
  <si>
    <t xml:space="preserve">Equipment count based on informal judgment, not benchmarked against an industry standard.
Charging-station count not compared to fleet size; wait-for-charger incidents unmeasured.
No dedicated MHE parking/storage area; equipment scattered.
Shortages addressed reactively (e.g., emergency rental) after a visible slowdown.</t>
  </si>
  <si>
    <t xml:space="preserve">Equipment count documented against average daily requirement, reviewed periodically.
Informal eye on industry-standard MHE-to-volume ratios.
Charging-station count vs. fleet size checked periodically; wait-for-charger incidents logged when they occur.
A dedicated MHE storage/parking space exists but inconsistently maintained.
Emergency rental usage tracked monthly.</t>
  </si>
  <si>
    <t xml:space="preserve">Equipment count reviewed against peak-hour requirement, not just average.
Benchmarked against a defined industry standard for MHE-to-volume ratios.
Charging-station adequacy reviewed regularly; wait-for-charger incidents tracked weekly.
Dedicated MHE storage/parking space defined and maintained.
Backup/rental equipment pre-arranged; operator-wait incidents tracked weekly, root-caused.</t>
  </si>
  <si>
    <t xml:space="preserve">Equipment adequacy reviewed continuously against average and peak demand.
Documented fleet plan benchmarked against the defined industry standard for MHE-to-volume ratios.
Charging-station count sized to fleet size; zero recurring wait-for-charger incidents.
Dedicated MHE storage/parking space fully maintained and enforced.
Operator-wait incidents rare, root-caused within the week; emergency rental a planned contingency.</t>
  </si>
  <si>
    <t xml:space="preserve">• Is Material Handling Equipment (MHE) fleet count/type benchmarked against a defined industry standard and peak-hour (not just average) volume?
• Is charging-station count checked against fleet size, and are wait-for-charger incidents tracked?
• Is there a dedicated, maintained MHE storage/parking area?
• Are operator wait-for-equipment incidents tracked weekly and root-caused?
• Is equipment shortage handled reactively (emergency rental after a slowdown) or via a pre-arranged backup plan?</t>
  </si>
  <si>
    <t>MHE Availability % = Equipment-Hours Available / Equipment-Hours Planned x 100, benchmarked against a defined industry standard for MHE-to-volume ratios; supported by Operator Wait-for-Equipment and Wait-for-Charger Incidents per shift.</t>
  </si>
  <si>
    <t>Detailed MHE fleet sizing and optimization study recommended where operator-wait or equipment-idle patterns indicate a mismatch between fleet size and actual requirement, benchmarked against the defined industry standard for MHE-to-volume ratios.</t>
  </si>
  <si>
    <t>A21.2</t>
  </si>
  <si>
    <t>MHE Performance &amp; Reliability</t>
  </si>
  <si>
    <t xml:space="preserve">Equipment utilization, breakdown frequency, battery-charging patterns not tracked.
Preventive Maintenance (PM) reactive (fix-on-failure only); no PM schedule exists.
Battery/equipment performance not benchmarked against any defined industry standard.</t>
  </si>
  <si>
    <t xml:space="preserve">Breakdowns logged in a register; Mean Time Between Failures (MTBF)/Mean Time To Repair (MTTR) not calculated.
A PM schedule exists on paper but not consistently followed; adherence unmeasured.
Battery charging follows no defined rotation; performance untracked.</t>
  </si>
  <si>
    <t xml:space="preserve">Utilization and breakdown frequency tracked monthly.
PM schedule followed for the majority of equipment.
PM adherence tracked against a defined industry-standard cadence.
Battery charging follows a basic rotation but is not optimized.</t>
  </si>
  <si>
    <t xml:space="preserve">Utilization, MTBF, MTTR tracked weekly per equipment unit.
PM compliance tracked, held above benchmark, aligned to a defined industry-standard cadence.
Battery management (charge scheduling, swap availability) planned to avoid mid-shift downtime.
Battery performance tracked against the PM schedule.</t>
  </si>
  <si>
    <t xml:space="preserve">Utilization, MTBF, MTTR tracked in real time (telematics-enabled where applicable) per unit.
Drives a predictive maintenance program benchmarked against the defined industry-standard PM cadence.
PM adherence at or above benchmark, zero missed cycles.
Battery management fully scheduled, zero mid-shift charging-related downtime.
Battery performance tracked and trended continuously.</t>
  </si>
  <si>
    <t xml:space="preserve">• Is Preventive Maintenance (PM) scheduled and followed, or reactive fix-on-failure only? What is current PM adherence %?
• Are Mean Time Between Failures (MTBF) and Mean Time To Repair (MTTR) calculated, and how often is utilization/breakdown tracked (never / monthly / weekly / real time)?
• Is the PM cadence benchmarked against a defined industry standard?
• How is battery charging managed - no rotation, basic rotation, or scheduled to avoid mid-shift downtime?
• Is there a telematics-enabled predictive maintenance program?</t>
  </si>
  <si>
    <t>MHE Utilization % = Productive Equipment-Hours / Total Available Equipment-Hours x 100; supported by MTBF, MTTR, and Preventive Maintenance (PM) Adherence % vs. defined industry-standard PM cadence.</t>
  </si>
  <si>
    <t>A21.3</t>
  </si>
  <si>
    <t>Internal Movement &amp; Travel Efficiency</t>
  </si>
  <si>
    <t>Internal material movement (travel distance, backtracking, cross-movement, double handling) is not measured; congestion and pedestrian/MHE conflict points are known anecdotally but not mapped.</t>
  </si>
  <si>
    <t>Movement inefficiencies are noticed by supervisors but not quantified; no one-way flow or designated pedestrian/MHE lanes exist in congested areas.</t>
  </si>
  <si>
    <t>A basic flow map exists identifying major backtracking/cross-movement points, reviewed periodically; one-way flow and pedestrian/MHE segregation are implemented in the highest-risk areas.</t>
  </si>
  <si>
    <t>Travel distance and double-handling incidence are sampled/measured periodically (e.g., quarterly time-motion study) and used to adjust slotting or flow; congestion points are tracked and reduced measurably year-on-year.</t>
  </si>
  <si>
    <t>Travel distance and double-handling are tracked continuously (e.g., via WMS travel-path data) and used to drive ongoing slotting and flow optimization; pedestrian/MHE conflict points are eliminated or fully controlled, with a documented downward trend in average travel distance.</t>
  </si>
  <si>
    <t xml:space="preserve">• Is travel distance, backtracking, cross-movement, or double handling measured, or only known anecdotally?
• Does a current flow map exist identifying major backtracking/cross-movement/congestion points?
• Are one-way flow and pedestrian/MHE segregation implemented in the highest-risk areas?
• Is travel distance/double handling sampled periodically (e.g., a time-motion study) or tracked continuously via WMS travel-path data?
• Is there a documented, sustained downward trend in average travel distance?</t>
  </si>
  <si>
    <t>Average Travel Distance per Pick/Putaway Transaction (meters); supported by Double-Handling Incidence %.</t>
  </si>
  <si>
    <t>Detailed internal-movement/flow simulation study recommended where travel-distance or double-handling data is not yet being captured.</t>
  </si>
  <si>
    <t>A22</t>
  </si>
  <si>
    <t>Cold-Chain &amp; Temperature-Controlled Operations</t>
  </si>
  <si>
    <t>A22.1</t>
  </si>
  <si>
    <t>0-4C Chiller Storage &amp; Handling</t>
  </si>
  <si>
    <t>Products requiring 0-4C storage (cut produce, exotic produce, chilled Food &amp; Beverage (F&amp;B) items) are stored without a documented temperature map or defined dwell-time limit; door-opening frequency is not managed; incompatible products are stored together.</t>
  </si>
  <si>
    <t>A chiller exists and is used for the intended products, but temperature mapping, dwell-time limits, and product segregation are not formally defined or monitored.</t>
  </si>
  <si>
    <t>Temperature is logged (manual or basic logger) for the majority of chiller zones, reviewed daily; product segregation and a basic dwell-time expectation are defined and followed for the majority of SKUs.</t>
  </si>
  <si>
    <t>Temperature is logged continuously via sensors for over 90% of chiller zones with daily excursion review; dwell time and door-opening frequency are monitored and held within defined limits for the majority of product categories.</t>
  </si>
  <si>
    <t>Temperature is logged continuously via sensors across 100% of chiller zones with real-time excursion alerts and automated escalation; dwell time, door-opening, and product segregation are all actively managed and audited, with backup refrigeration verified and tested on a defined schedule.</t>
  </si>
  <si>
    <t xml:space="preserve">• Is there a documented temperature map and defined dwell-time limit for 0-4C chiller zones?
• What % of chiller zones have continuous sensor-based logging vs. manual logger vs. none?
• Are incompatible products segregated within the chiller, and is door-opening frequency managed?
• Are temperature excursions reviewed daily, or alerted and escalated in real time?
• Is backup refrigeration verified and tested on a defined schedule?</t>
  </si>
  <si>
    <t>Chiller Temperature Compliance % = In-Range Readings / Total Readings x 100; supported by Average Dwell Time and Door-Opening Frequency (distinct from the general A11.5 compliance KPI, this drills into product-specific handling).</t>
  </si>
  <si>
    <t>A22.2</t>
  </si>
  <si>
    <t>15-20C Leafy Processing</t>
  </si>
  <si>
    <t xml:space="preserve">Leafy produce received, sorted, graded, packed at ambient temperature.
No defined time-outside-controlled-temperature limit.
Storage/processing temperature range (15-20C) not defined or enforced.
No handling norms (stacking, transfer time, ethylene co-location) defined.
Damage/shelf-life impact from heat exposure not tracked.</t>
  </si>
  <si>
    <t xml:space="preserve">A 15-20C storage/processing intent exists, not consistently enforced.
Leafy product frequently sits at ambient temperature between receiving and cold processing, no tracked time limit.
Basic handling norms known informally, not standardized.</t>
  </si>
  <si>
    <t xml:space="preserve">Time-outside-controlled-temperature tracked for the majority of batches against an informal target.
The 15-20C band maintained for most storage/processing steps.
Handling norms (stacking limits, transfer-time limits, ethylene segregation) defined, followed inconsistently.
Damage attributable to heat exposure logged when identified.</t>
  </si>
  <si>
    <t xml:space="preserve">Time-outside-controlled-temperature tracked for over 90% of batches against a defined target, damage reviewed weekly, root-caused.
The 15-20C band maintained continuously through storage/processing for most batches.
Handling norms (no crushing stacks, minimal ambient exposure in transfers, ethylene segregation) followed for most batches.</t>
  </si>
  <si>
    <t xml:space="preserve">Time-outside-controlled-temperature tracked in real time for 100% of batches, held within a benchmark-tight window, receiving through dispatch.
The 15-20C band maintained continuously, receiving through dispatch, zero unmanaged lapses.
Handling norms fully enforced: no crushing stacks, no prolonged ambient exposure, no ethylene co-location.
Damage/shelf-life impact at or below a defined minimum, continuously monitored.</t>
  </si>
  <si>
    <t xml:space="preserve">• Is leafy produce held continuously within the 15-20C band from receiving to dispatch, or does it sit at ambient temperature between steps?
• Is time-outside-controlled-temperature tracked per batch, against what target, and for what % of batches?
• Are handling norms (stacking limits, transfer-time limits, no ethylene co-location) defined and actually followed?
• Is damage/shelf-life impact from heat exposure logged and root-caused weekly?</t>
  </si>
  <si>
    <t>Time Outside Controlled Temperature (minutes) = Cumulative Time Leafy Product Spends Outside the 15-20C Band from Receiving to Dispatch; supported by adherence to defined handling norms (stacking, transfer-time, ethylene segregation).</t>
  </si>
  <si>
    <t>A22.3</t>
  </si>
  <si>
    <t>15-20C Hydroponics Processing</t>
  </si>
  <si>
    <t xml:space="preserve">Hydroponic produce handled with no protocol distinct from standard field-grown leafy.
Despite higher moisture content and fragility.
Storage/processing temperature range (15-20C) not specifically enforced.
No hydroponics-specific handling norms (extra care against crushing, shorter ambient tolerance, no ethylene co-location) defined.
Damage/quality issues from mishandling not tracked separately from standard leafy.</t>
  </si>
  <si>
    <t xml:space="preserve">A distinct handling intent for hydroponic produce exists, not formalized or consistently followed.
15-20C band targeted, not tracked separately from general leafy.
Hydroponics-specific norms (tighter stacking, shorter transfer-time tolerance) known informally, not standardized.
Damage from hydroponics-specific mishandling not isolated in quality data.</t>
  </si>
  <si>
    <t xml:space="preserve">A defined handling/temperature protocol exists, followed for the majority of batches.
15-20C band maintained for most storage/processing steps.
Tighter stacking and transfer-time limits than standard leafy, given higher moisture/fragility.
Damage/rejection from temperature or handling tracked separately, reviewed periodically.</t>
  </si>
  <si>
    <t xml:space="preserve">Protocol followed for over 90% of batches, staging and dispatch handling also covered.
15-20C band maintained continuously for most batches.
Stricter stacking/transfer-time discipline than standard leafy.
No co-location with ethylene-releasing produce for most batches.
Damage/rejection from hydroponics handling tracked weekly, held under a defined benchmark.</t>
  </si>
  <si>
    <t xml:space="preserve">Protocol followed for 100% of batches end-to-end, receiving through dispatch staging.
15-20C band maintained continuously, zero unmanaged lapses.
Reflects the tighter handling care hydroponic product needs vs. regular field-grown leafy.
Zero crushing stacks, zero prolonged ambient exposure, zero ethylene co-location.
Damage/rejection from temperature or handling at or near zero, continuously monitored.</t>
  </si>
  <si>
    <t xml:space="preserve">• Does hydroponic produce get a handling protocol distinct from standard field-grown leafy, given its higher moisture and fragility?
• Is the 15-20C band and time-outside-controlled-temperature tracked separately for hydroponics, not lumped with general leafy?
• Are tighter stacking and shorter transfer-time limits enforced than for standard leafy?
• Is hydroponics-specific damage/rejection tracked separately, and what % is attributable to temperature or handling?
• Is co-location with ethylene-releasing produce avoided?</t>
  </si>
  <si>
    <t>Hydroponics Product Damage/Rejection % Attributable to Temperature Exposure or Physical Handling; supported by adherence to hydroponics-specific handling norms (stacking, transfer-time, ethylene segregation), tracked separately from standard leafy (A22.2).</t>
  </si>
  <si>
    <t>A22.4</t>
  </si>
  <si>
    <t>Cold Process Flow Continuity</t>
  </si>
  <si>
    <t>Temperature continuity from inbound verification through dispatch is not tracked as an end-to-end chain; each stage is managed independently with no visibility into where the cold chain is broken.</t>
  </si>
  <si>
    <t>Temperature is checked at 1-2 points in the chain (e.g., inbound gate and cold storage) but not at intermediate stages (processing, staging); breaks in continuity are not identified.</t>
  </si>
  <si>
    <t>Temperature is checked at the majority of chain stages for the majority of cold-chain SKUs, with an informal understanding of where breaks are most likely; reviewed periodically.</t>
  </si>
  <si>
    <t>Temperature continuity is tracked across over 90% of chain stages for cold-chain SKUs, with breaks (door-opening, staging delay, ante-room transit) flagged and reviewed weekly.</t>
  </si>
  <si>
    <t>Temperature continuity is tracked and verified at every chain stage in real time for 100% of cold-chain SKUs, with zero unmanaged breaks and automated escalation the moment a break occurs, including at reefer vehicle handover.</t>
  </si>
  <si>
    <t xml:space="preserve">• Is temperature continuity tracked as one end-to-end chain from inbound verification through dispatch, or is each stage managed independently with no visibility into breaks?
• At which chain stages is temperature actually checked - just inbound gate, or also processing, staging, and reefer-vehicle handover?
• What % of chain stages/cold-chain SKUs maintain the required temperature band?
• Are breaks (door-opening, staging delay, ante-room transit, reefer handover) flagged, reviewed, and auto-escalated?</t>
  </si>
  <si>
    <t>Cold-Chain Continuity % = Process Steps (Inbound Temperature Verification, QC, Controlled Processing, Packing, Storage, Picking, Staging, Dispatch) Maintaining the Required Temperature Band / Total Cold-Chain Process Steps x 100.</t>
  </si>
  <si>
    <t>A22.5</t>
  </si>
  <si>
    <t>Cold-Chain Infrastructure Reliability</t>
  </si>
  <si>
    <t>Refrigeration reliability (breakdown frequency, backup refrigeration availability, alarm response) is not tracked; a refrigeration failure is discovered only when product temperature has already been compromised.</t>
  </si>
  <si>
    <t>Breakdowns are logged when they occur, but uptime %, backup refrigeration testing, and alarm-response time are not measured.</t>
  </si>
  <si>
    <t>Refrigeration uptime is tracked monthly; backup refrigeration exists and is tested periodically; alarms exist but response time is not measured.</t>
  </si>
  <si>
    <t>Refrigeration uptime is tracked weekly and held above a defined benchmark; backup refrigeration is tested on a defined schedule; alarm response time is tracked and held under a defined target.</t>
  </si>
  <si>
    <t>Refrigeration uptime is tracked continuously and held above a defined benchmark (e.g., 99%+); backup refrigeration is tested and proven on a defined schedule with zero unplanned cold-chain downtime; alarms trigger automated escalation with response time consistently under a defined target.</t>
  </si>
  <si>
    <t xml:space="preserve">• Is refrigeration uptime tracked, at what frequency (not tracked / monthly / weekly / continuously), and what is the current uptime %?
• Does backup refrigeration exist, and is it tested on a defined schedule?
• Are alarms in place, and is alarm response time measured and held under a target?
• Is a refrigeration failure typically caught by monitoring, or only discovered after product temperature is already compromised?</t>
  </si>
  <si>
    <t>Refrigeration Uptime % = Time Refrigeration Systems Maintain Set Temperature / Total Time x 100; supported by Alarm Response Time (minutes).</t>
  </si>
  <si>
    <t>Detailed cold-room/refrigeration capacity and redundancy sizing study recommended where backup refrigeration is untested or uptime is not tracked.</t>
  </si>
  <si>
    <t>A23</t>
  </si>
  <si>
    <t>Food &amp; Beverage (F&amp;B) / Non-Goods and Services Tax (Non-GST) Operating Segregation</t>
  </si>
  <si>
    <t>A23.1</t>
  </si>
  <si>
    <t>Physical &amp; Process Segregation</t>
  </si>
  <si>
    <t>Products treated as Food &amp; Beverage (F&amp;B)/Non-Goods and Services Tax (Non-GST) (e.g., fresh produce, milk, curd, other exempt dairy) share storage and processing space with other inventory with no physical demarcation; there is no documented list of which products are treated this way.</t>
  </si>
  <si>
    <t>A list of applicable products exists, but physical segregation in storage/processing is informal and not consistently maintained; movement between segregated and non-segregated areas is not controlled.</t>
  </si>
  <si>
    <t>Defined storage/processing zones exist for F&amp;B/Non-GST products and are followed for the majority of applicable SKUs, audited periodically; movement control exists but relies on manual discipline.</t>
  </si>
  <si>
    <t>Segregation is maintained for over 90% of applicable SKUs with zone access/movement controlled (e.g., physical barriers, defined transfer points), audited monthly with corrective action on drift.</t>
  </si>
  <si>
    <t>Segregation is maintained for 100% of applicable SKUs with system-enforced movement control (e.g., WMS location-type restrictions) and zero unresolved audit findings, sustained over consecutive audit cycles.</t>
  </si>
  <si>
    <t xml:space="preserve">• Is there a documented list of which products are treated as Food &amp; Beverage (F&amp;B)/Non-Goods and Services Tax (Non-GST) (e.g., fresh produce, milk, curd, exempt dairy)?
• Are these products physically segregated in storage/processing with defined zones, and what % of applicable SKUs is covered?
• Is movement between segregated and non-segregated areas controlled, and is it audited?
• Is movement control system-enforced (e.g., WMS location-type restrictions) or reliant on manual discipline?</t>
  </si>
  <si>
    <t>Segregation Compliance % = Storage/Processing Locations Correctly Segregated for F&amp;B/Non-GST Products / Total Locations Audited x 100.</t>
  </si>
  <si>
    <t>A23.2</t>
  </si>
  <si>
    <t>Inventory Ownership, Documentation &amp; WMS Segregation</t>
  </si>
  <si>
    <t>The WMS does not distinguish F&amp;B/Non-GST inventory from other stock; ownership and documentation for these products follow the same process as all other inventory, with no distinct traceability.</t>
  </si>
  <si>
    <t>A manual register or spreadsheet tracks F&amp;B/Non-GST inventory separately, but the WMS itself does not tag or segregate it; reconciliation between the register and the WMS is manual and infrequent.</t>
  </si>
  <si>
    <t>The WMS tags the majority of applicable SKUs with a distinct location/inventory type, with documentation (billing flow, ownership records) maintained separately and reconciled periodically.</t>
  </si>
  <si>
    <t>The WMS tags over 90% of applicable SKUs with system-enforced segregation, with documentation and billing flow reconciled monthly with zero unresolved discrepancies.</t>
  </si>
  <si>
    <t>The WMS fully segregates 100% of applicable SKUs with system-enforced controls, complete traceability, and documentation reconciled in real time with zero discrepancies, sustained over consecutive review cycles.</t>
  </si>
  <si>
    <t xml:space="preserve">• Does the WMS tag F&amp;B/Non-GST inventory with a distinct location/inventory type, or is it tracked only on a manual register/spreadsheet?
• What % of applicable SKUs are system-tagged for segregation?
• Are documentation and billing flow reconciled against the WMS, and how often (infrequent manual vs. monthly vs. real time)?
• Are there unresolved discrepancies between the register/WMS and actual ownership records?</t>
  </si>
  <si>
    <t>WMS Segregation Coverage % = F&amp;B/Non-GST SKUs Tagged with a Distinct Inventory/Location Type in the WMS / Total Applicable SKUs x 100.</t>
  </si>
  <si>
    <t>A23.3</t>
  </si>
  <si>
    <t>Compliance Risk &amp; Tax-Interpretation Flag</t>
  </si>
  <si>
    <t>There is no awareness at the operational level of why F&amp;B/Non-GST products are (or should be) segregated; inconsistent physical/system segregation creates a visible audit/compliance risk that has not been assessed by a tax or compliance specialist.</t>
  </si>
  <si>
    <t>Operational staff are aware segregation matters but have not been briefed on the specific compliance requirement; no periodic internal audit checks segregation compliance risk.</t>
  </si>
  <si>
    <t>Operational staff are briefed on the segregation requirement and a periodic internal audit checks physical/system/documentation consistency; findings are logged, though closure is inconsistent.</t>
  </si>
  <si>
    <t>Segregation compliance risk is audited on a defined schedule (e.g., quarterly) with findings closed within a defined SLA; the operational team maintains a working relationship with a tax/compliance function to flag ambiguous cases.</t>
  </si>
  <si>
    <t>Segregation compliance risk is audited on a defined schedule with a sustained zero-unresolved-finding record; any ambiguous product/process scenario is proactively escalated to and validated by a Goods and Services Tax (GST)/Tax specialist before it becomes an operational practice, with that validation documented and retained.</t>
  </si>
  <si>
    <t xml:space="preserve">• Are operational staff briefed on why F&amp;B/Non-GST segregation matters, or just aware it matters without knowing the requirement?
• Is there a periodic internal audit checking physical/system/documentation consistency for this segregation risk?
• Are audit findings logged and closed within a defined Service Level Agreement (SLA)?
• Is there a working relationship with a Goods and Services Tax (GST)/tax specialist to flag and validate ambiguous scenarios before they become practice?</t>
  </si>
  <si>
    <t>Segregation Audit Finding Rate = Unresolved Segregation/Documentation Findings per Audit Cycle.</t>
  </si>
  <si>
    <t>Any interpretation of GST/tax treatment, exemption eligibility, or the tax benefit (if any) of a given segregation practice requires validation by a GST/Tax specialist - this diagnostic assesses only the operational consistency and audit-readiness of the segregation practice, not its tax correctness.</t>
  </si>
  <si>
    <t>A24</t>
  </si>
  <si>
    <t>Facility &amp; Warehouse Design Diagnostics (Expansion)</t>
  </si>
  <si>
    <t>A24.1</t>
  </si>
  <si>
    <t>Process Flow Diagnostics</t>
  </si>
  <si>
    <t>There is no current process-flow map of the facility; backtracking, cross-movement between raw and processed material, and MHE/pedestrian conflict points are not identified.</t>
  </si>
  <si>
    <t>A process-flow map was created at some point (e.g., at facility setup) but is outdated and not revisited as operations changed; known congestion points are managed informally.</t>
  </si>
  <si>
    <t>A current process-flow map exists, reviewed periodically, identifying the majority of backtracking/cross-movement/congestion points, with basic mitigations (signage, marked lanes) in place.</t>
  </si>
  <si>
    <t>The flow map is reviewed and updated on a defined cadence (e.g., quarterly) using actual movement/congestion data, with mitigations tracked and measurably reducing backtracking incidents year-on-year.</t>
  </si>
  <si>
    <t>The flow map is continuously validated against real operational data, with backtracking, cross-movement, and MHE/pedestrian conflict held at or near a documented practical minimum, reviewed as a standing facility-governance item.</t>
  </si>
  <si>
    <t xml:space="preserve">• Does a current process-flow map of the facility exist, or is the last one outdated and never revisited?
• Does it identify backtracking, cross-movement between raw and processed material, and MHE/pedestrian conflict points?
• Is the map reviewed and updated on a defined cadence using actual movement/congestion data?
• Are mitigations (signage, marked lanes) in place, and is backtracking incidence trending down year-on-year?</t>
  </si>
  <si>
    <t>Backtracking/Cross-Movement Incidence % = Process Steps Requiring Reverse or Crossing Travel / Total Mapped Process Steps x 100.</t>
  </si>
  <si>
    <t>Detailed flow/layout redesign study recommended where backtracking or cross-movement is material and unaddressed by the current layout.</t>
  </si>
  <si>
    <t>A24.2</t>
  </si>
  <si>
    <t>Area Adequacy Across Functional Zones</t>
  </si>
  <si>
    <t xml:space="preserve">None of the facility's ~18 functional zones (unloading, palletization, Sorting &amp; Grading (S&amp;G), S&amp;G-staging-for-packing, packing, staging-for-picking-and-allocation, allocation, dispatch, ambient storage, chilled storage, leafy-processing, Material Handling Equipment (MHE) charging-and-staging, office, canteen, toilets, security, server room, electrical room) has a documented capacity/inventory math check.
Zone sizes are eyeballed.
Congestion, overflow, or significant underuse in one or more zones is common and unquantified.
Emergency-exit count and nearest-distance-to-exit adequacy never assessed as a design criterion.
Fire-extinguisher placement adequacy never assessed as a design criterion.</t>
  </si>
  <si>
    <t xml:space="preserve">A handful of the ~18 zones (e.g., cold rooms) have an informal capacity sense.
Most zones have never had a capacity/inventory math check run against them.
Congestion/overflow incidents not logged by zone.
Emergency-exit count/distance and fire-extinguisher placement noted informally at best, not assessed as a design criterion.</t>
  </si>
  <si>
    <t xml:space="preserve">The majority of the ~18 functional zones have been through a documented capacity/inventory math check (size derived from expected volume/inventory, not eyeballed), reviewed periodically.
Congestion/overflow incidents logged by zone.
Emergency-exit count and nearest-distance-to-exit adequacy assessed as a design criterion for majority of the facility.
Fire-extinguisher placement adequacy assessed as a design criterion, though not comprehensively across all zones.</t>
  </si>
  <si>
    <t xml:space="preserve">All ~18 functional zones assessed on a defined cadence via a documented capacity/inventory math check.
Constrained zones flagged for a follow-up sizing study; excess-capacity zones flagged for reallocation.
Emergency-exit count and nearest-distance-to-exit adequacy assessed for the full facility, gaps tracked to closure.
Fire-extinguisher placement adequacy assessed for the full facility, gaps tracked to closure.</t>
  </si>
  <si>
    <t xml:space="preserve">All ~18 functional zones continuously monitored against actual utilization data via a standing capacity/inventory math check.
Findings feed a facility-improvement backlog with measurable resolution of previously constrained zones.
Emergency-exit count and nearest-distance-to-exit adequacy fully assessed by design, zero unresolved gaps.
Fire-extinguisher placement adequacy fully assessed by design, zero unresolved coverage gaps.</t>
  </si>
  <si>
    <t xml:space="preserve">• How many of the ~18 functional zones (unloading, palletization, Sorting &amp; Grading (S&amp;G), packing, staging, ambient/chilled storage, leafy processing, MHE charging, office, canteen, toilets, security, server room, electrical room) have a documented capacity/inventory math check, versus eyeballed sizing?
• Are congestion, overflow, or underuse incidents logged by zone?
• Has emergency-exit count and nearest-distance-to-exit adequacy been assessed as a design criterion, and across what % of the facility?
• Has fire-extinguisher placement adequacy been assessed as a design criterion?
• Are constrained zones flagged for a sizing study, and excess-capacity zones flagged for reallocation?</t>
  </si>
  <si>
    <t>Zone Capacity/Inventory Math-Check Coverage % = Functional Zones (of the ~18: Unloading, Palletization, S&amp;G, S&amp;G-Staging-for-Packing, Packing, Staging-for-Picking-and-Allocation, Allocation, Dispatch, Ambient Storage, Chilled Storage, Leafy-Processing, MHE Charging-and-Staging, Office, Canteen, Toilets, Security, Server Room, Electrical Room) Sized via a Documented Capacity/Inventory Calculation / Total Zones x 100; supported by Emergency-Exit Count/Distance Design-Adequacy and Fire-Extinguisher Placement Design-Adequacy (facility-design criteria, distinct from day-to-day safety-compliance tracking).</t>
  </si>
  <si>
    <t>Detailed area/capacity sizing calculation recommended for any of the ~18 functional zones flagged as constrained, excessive, or lacking a documented capacity/inventory math check.</t>
  </si>
  <si>
    <t>A24.3</t>
  </si>
  <si>
    <t>Storage Diagnostics (Slotting &amp; Density)</t>
  </si>
  <si>
    <t>Storage locations are assigned with no defined method (first-available-space); there is no concept of velocity-based ("golden zone") slotting; storage density and rack/bin utilization are not measured.</t>
  </si>
  <si>
    <t>A slotting concept exists informally for a handful of high-velocity SKUs, but is not documented or systematically applied; storage density is not measured.</t>
  </si>
  <si>
    <t>A documented slotting methodology (velocity-based, golden-zone placement) is applied to the majority of SKUs, with storage density/rack utilization measured periodically.</t>
  </si>
  <si>
    <t>Slotting is applied to over 90% of SKUs and reviewed on a defined cadence (e.g., monthly) using actual movement data; storage density and rack/bin utilization are tracked and held above a defined benchmark.</t>
  </si>
  <si>
    <t>Slotting is continuously optimized using real movement data for 100% of SKUs, with storage density/utilization tracked in real time and a documented, sustained improvement trend.</t>
  </si>
  <si>
    <t xml:space="preserve">• Are storage locations assigned by a documented, velocity-based ("golden zone") slotting methodology, or first-available-space?
• What % of SKUs are covered by a documented slotting rule?
• Is storage density/rack-bin utilization measured, and how often?
• Is slotting re-optimized using actual movement data, with a documented improvement trend?</t>
  </si>
  <si>
    <t>Slotting Optimization Coverage % = SKU Locations Assigned by a Documented Velocity-Based Slotting Rule / Total SKU Locations x 100.</t>
  </si>
  <si>
    <t>A24.4</t>
  </si>
  <si>
    <t>Dock Diagnostics (Adequacy &amp; Segregation)</t>
  </si>
  <si>
    <t>There is no documented basis for whether the current number of docks is adequate for inbound/outbound volume; inbound and outbound share docks with no defined segregation, and queuing is chronic and unmeasured.</t>
  </si>
  <si>
    <t>Dock count feels adequate or inadequate based on staff perception only; queuing is noticed but not measured; inbound/outbound segregation is informal.</t>
  </si>
  <si>
    <t>Dock count and utilization are documented against average daily volume, reviewed periodically; a basic inbound/outbound segregation exists and is followed most of the time.</t>
  </si>
  <si>
    <t>Dock count and utilization are reviewed against both average and peak volume, with queuing time tracked and held under a defined target; inbound/outbound segregation is enforced with defined exceptions.</t>
  </si>
  <si>
    <t>Dock adequacy is continuously validated against actual and forecast peak volume, with queuing time consistently under target, zero unmanaged inbound/outbound conflicts, and dock-vehicle compatibility (size/type) planned for.</t>
  </si>
  <si>
    <t xml:space="preserve">• Is dock count/utilization documented against average and peak daily volume, or judged on staff perception only?
• Is queuing time measured, and held under a defined target?
• Is inbound/outbound dock segregation formally defined and enforced, or informal?
• Is dock-vehicle compatibility (size/type) planned for?</t>
  </si>
  <si>
    <t>Dock Adequacy Rating % = Docks Meeting Defined Queue-Time/Utilization Target / Total Docks Assessed x 100 (distinct from A3.1's dock-management-system maturity; this assesses whether dock count/segregation is adequate for volume).</t>
  </si>
  <si>
    <t>Detailed dock sizing/scheduling study recommended where queuing is chronic or dock count has never been benchmarked against volume.</t>
  </si>
  <si>
    <t>A24.5</t>
  </si>
  <si>
    <t>Cold-Chain Infrastructure Diagnostics (Civil/Design)</t>
  </si>
  <si>
    <t>Cold-room civil condition (insulation integrity, door condition, ante-room presence, temperature uniformity across the room) has never been formally assessed; overloading beyond rated capacity is common and unmeasured.</t>
  </si>
  <si>
    <t>Civil condition is assessed only reactively (e.g., after a visible failure); ante-rooms, where absent, are not flagged as a design gap.</t>
  </si>
  <si>
    <t>A documented assessment of insulation, door condition, ante-room presence, and temperature uniformity exists for the majority of cold rooms, reviewed periodically; overloading incidents are logged.</t>
  </si>
  <si>
    <t>The assessment is refreshed on a defined cadence for all cold rooms, with identified gaps (missing ante-room, poor uniformity, overloading) tracked to resolution or flagged for a design study.</t>
  </si>
  <si>
    <t>Cold-room civil condition is continuously monitored (e.g., uniformity mapping) with zero unresolved insulation/door/ante-room gaps and utilization consistently within rated capacity.</t>
  </si>
  <si>
    <t xml:space="preserve">• Has cold-room civil condition (insulation integrity, door condition, ante-room presence, temperature uniformity) been formally assessed, or only reactively after a failure?
• Where ante-rooms are absent, is that flagged as a design gap?
• Is overloading beyond rated capacity tracked, and how common is it?
• Are identified gaps (insulation, door, ante-room, uniformity) tracked to resolution or flagged for a design study?</t>
  </si>
  <si>
    <t>Cold-Room Infrastructure Adequacy Rating % = Cold Rooms Meeting Defined Insulation/Uniformity/Ante-Room Design Criteria / Total Cold Rooms Assessed x 100 (civil/design condition, distinct from A22.5's operational reliability tracking).</t>
  </si>
  <si>
    <t>Detailed cold-room civil/refrigeration design study recommended where insulation, ante-room, or uniformity gaps are identified.</t>
  </si>
  <si>
    <t>A24.6</t>
  </si>
  <si>
    <t>Food-Safety Facility Diagnostics</t>
  </si>
  <si>
    <t>Raw and processed material flows are not physically segregated; personnel movement between zones is unrestricted; drainage, pest control, and wash-area provisions have not been assessed against a defined food-safety standard.</t>
  </si>
  <si>
    <t>Some segregation exists informally (e.g., separate tables) but personnel flow, drainage, and pest control are not assessed as a combined food-safety facility standard.</t>
  </si>
  <si>
    <t>A documented food-safety facility assessment (raw/processed segregation, personnel flow, drainage, pest control, wash/hand-wash areas) exists and is followed for the majority of the facility, reviewed periodically.</t>
  </si>
  <si>
    <t>The assessment is refreshed on a defined cadence (e.g., quarterly) with over 90% compliance against the defined standard, and identified gaps tracked to closure.</t>
  </si>
  <si>
    <t>Food-safety facility compliance is continuously monitored and audited, with zero unresolved gaps sustained across consecutive audit cycles, and cross-contamination risk points eliminated or fully controlled.</t>
  </si>
  <si>
    <t xml:space="preserve">• Are raw and processed material flows physically segregated, and is personnel movement between zones restricted?
• Have drainage, pest control, and wash/hand-wash area provisions been assessed against a defined food-safety standard?
• Is there a documented food-safety facility assessment, and what % compliance does it show?
• Is the assessment refreshed on a defined cadence, with gaps tracked to closure?</t>
  </si>
  <si>
    <t>Food-Safety Zoning Compliance % = Facility Areas Meeting Defined Raw/Processed Segregation, Hygiene-Zoning, and Drainage Criteria / Total Areas Assessed x 100.</t>
  </si>
  <si>
    <t>Detailed food-safety facility design/retrofit study recommended where raw/processed segregation or drainage/pest-control provisions are found inadequate.</t>
  </si>
  <si>
    <t>A25</t>
  </si>
  <si>
    <t>Training, Induction &amp; Continuous Improvement</t>
  </si>
  <si>
    <t>A25.1</t>
  </si>
  <si>
    <t>New Employee Induction &amp; Onboarding</t>
  </si>
  <si>
    <t>New employees start work with no formal induction; whatever orientation happens is informal, given by a co-worker, and not documented; there is no defined induction checklist or duration.</t>
  </si>
  <si>
    <t>A basic induction exists (e.g., a half-day safety/rules briefing) but is applied inconsistently and not tracked per new hire.</t>
  </si>
  <si>
    <t>A defined induction program (covering safety, quality/food-safety basics, role overview) exists and is completed by the majority of new hires before independent work begins, tracked via a checklist.</t>
  </si>
  <si>
    <t>The induction program is completed by over 90% of new hires, tracked systematically, with a basic competency check before sign-off to independent work.</t>
  </si>
  <si>
    <t>The induction program is completed by 100% of new hires with a documented competency sign-off, refreshed periodically for content relevance, and tracked as a standing Human Resources (HR)/Operations Key Performance Indicator (KPI).</t>
  </si>
  <si>
    <t xml:space="preserve">• Is there a formal, documented induction checklist and duration for new hires, or is orientation informal and given by a co-worker?
• What % of new hires complete the defined induction program before starting independent work?
• Does induction cover safety, quality/food-safety basics, and role overview?
• Is there a competency check/sign-off before release to independent work?
• Is induction completion tracked as a standing Human Resources (HR)/Operations Key Performance Indicator (KPI)?</t>
  </si>
  <si>
    <t>Induction Completion Rate % = New Hires Completing the Defined Induction Program Before Starting Independent Work / Total New Hires x 100.</t>
  </si>
  <si>
    <t>A25.2</t>
  </si>
  <si>
    <t>Role-Specific Skill Training &amp; Certification</t>
  </si>
  <si>
    <t>There is no defined skill/Standard Operating Procedure (SOP) training curriculum per role; employees learn the job by observing peers, with no certification or sign-off.</t>
  </si>
  <si>
    <t>A training curriculum exists for some roles (e.g., QC, cold-chain handling) but not others; completion is not tracked or certified.</t>
  </si>
  <si>
    <t>A defined curriculum exists for the majority of roles, with completion tracked via a checklist or basic test for the majority of employees.</t>
  </si>
  <si>
    <t>The curriculum covers over 90% of roles with a formal certification/sign-off, tracked systematically, and refreshed when SOPs change.</t>
  </si>
  <si>
    <t>The curriculum covers 100% of roles with formal certification, systematically tracked, and directly linked to task authorization (e.g., an employee cannot be rostered to a task without current certification).</t>
  </si>
  <si>
    <t xml:space="preserve">• Is there a defined skill/Standard Operating Procedure (SOP) training curriculum for each role, or do employees learn by observing peers?
• What % of roles have a defined curriculum, and what % of employees are certified against it?
• Is completion tracked via a checklist/test, or a formal certification/sign-off?
• Is certification refreshed when SOPs change, and is it linked to task authorization (can an uncertified employee still be rostered)?</t>
  </si>
  <si>
    <t>Role Certification Coverage % = Employees Certified Against Their Role's Defined Skill/SOP Requirements / Total Employees in That Role x 100.</t>
  </si>
  <si>
    <t>A25.3</t>
  </si>
  <si>
    <t>Training Effectiveness Measurement</t>
  </si>
  <si>
    <t xml:space="preserve">Training effectiveness not measured at all.
No way to tell whether training improves on-the-job performance.
'Effective' training not tied to certification status - certification, where it exists, is untracked.</t>
  </si>
  <si>
    <t xml:space="preserve">Training completion tracked (a headcount/attendance metric).
Effect on performance (productivity, error rate, quality) not measured.
Whether staff hold a valid role certification, or recertified on time, not linked to any effectiveness measure.</t>
  </si>
  <si>
    <t xml:space="preserve">Time-to-target-productivity measured informally for some roles.
Productivity/error-rate comparisons between trained and untrained staff made occasionally, not routinely.
Effectiveness reviews for some roles note current certification status, but do not check recertification timeliness (tracked separately under the refresher/recertification-cadence subpoint).</t>
  </si>
  <si>
    <t xml:space="preserve">Time-to-target-productivity and error-rate differential (trained vs. new) tracked routinely for majority of roles.
Feeds periodic curriculum updates.
'Effective' training for majority of roles requires a valid, current role certification - not just having attended training once.
Recertification timeliness (per the separate recertification-cadence subpoint) factored into the effectiveness view.</t>
  </si>
  <si>
    <t xml:space="preserve">Training effectiveness tracked as a standing output metric for all roles (time-to-target-productivity, post-training error/productivity trend).
Curriculum continuously revised based on this data.
'Effective' training defined for 100% of roles as certified AND currently recertified.
An employee whose certification has lapsed is not counted as effectively trained, regardless of past performance - fully aligned with the recertification-cadence tracking elsewhere in this Knowledge Base.</t>
  </si>
  <si>
    <t xml:space="preserve">• Is training effectiveness measured beyond attendance/headcount - e.g., time-to-target-productivity, or error-rate differential between trained and untrained staff?
• Is "effective" training tied to holding a valid, current role certification, or just having attended training once?
• Is recertification timeliness factored into whether someone counts as effectively trained?
• Does this effectiveness data feed periodic curriculum updates?</t>
  </si>
  <si>
    <t>Time-to-Target-Productivity (days from induction to meeting the role's productivity benchmark); supported by Error-Rate/Productivity Differential Between Certified and Uncertified Staff, and Valid-and-Current-Certification % (certification held AND recertified on schedule).</t>
  </si>
  <si>
    <t>A25.4</t>
  </si>
  <si>
    <t>Cross-Training &amp; Multi-Skilling Coverage</t>
  </si>
  <si>
    <t>Employees are trained and deployed in a single role only; there is no visibility into which roles have no backup-trained coverage; absenteeism in a critical role causes an immediate operational gap.</t>
  </si>
  <si>
    <t>Cross-training happens informally and opportunistically for a few individuals, not tracked as a coverage metric.</t>
  </si>
  <si>
    <t>A cross-training plan exists for the majority of critical roles, with coverage tracked periodically; single-point-of-failure roles are identified but not systematically closed.</t>
  </si>
  <si>
    <t>Cross-training coverage is tracked for over 90% of critical roles, with a defined target (e.g., at least 2 backup-trained employees per critical role) actively managed.</t>
  </si>
  <si>
    <t>Multi-skilling coverage is tracked in real time against a defined target for all critical roles, with zero unaddressed single-point-of-failure roles, sustained through routine roster planning.</t>
  </si>
  <si>
    <t xml:space="preserve">• Are employees trained/deployed in a single role only, or is there a cross-training plan for critical roles?
• What % of critical roles have tracked backup coverage, and is there a defined target (e.g., at least 2 backup-trained employees per critical role)?
• Are single-point-of-failure roles identified, and are they being systematically closed?
• Does absenteeism in a critical role cause an immediate operational gap?</t>
  </si>
  <si>
    <t>Multi-Skilling Coverage % = Employees Certified/Competent in More Than One Role / Total Employees x 100; supported by Critical-Role Single-Point-of-Failure Count.</t>
  </si>
  <si>
    <t>A25.5</t>
  </si>
  <si>
    <t>Continuous Improvement Culture &amp; Frontline Idea Generation</t>
  </si>
  <si>
    <t>There is no mechanism for frontline employees to submit improvement ideas; continuous improvement, where it happens, is driven exclusively top-down by management or external consultants.</t>
  </si>
  <si>
    <t>A suggestion box or informal channel exists but ideas are rarely reviewed or acted upon; there is no tracking of submission or implementation.</t>
  </si>
  <si>
    <t>A defined idea-submission mechanism exists and is reviewed periodically (e.g., monthly), with implemented ideas tracked, though participation is limited to a small group of employees.</t>
  </si>
  <si>
    <t>The mechanism is actively promoted with participation from the majority of teams, ideas are reviewed on a defined cadence with feedback given to submitters, and implementation rate is tracked.</t>
  </si>
  <si>
    <t>A sustained continuous-improvement culture exists with broad frontline participation, a fast review-and-feedback cycle, recognition for implemented ideas, and a tracked, positive trend in submission/implementation rate over time.</t>
  </si>
  <si>
    <t xml:space="preserve">• Is there a mechanism for frontline employees to submit improvement ideas, and is it actually reviewed?
• What share of teams/employees participate - broad, or limited to a small group?
• Are submitted ideas tracked through to implementation, with feedback given to submitters?
• Is there recognition for implemented ideas, and a tracked trend in submission/implementation rate over time?</t>
  </si>
  <si>
    <t>Idea Submission &amp; Implementation Rate = Frontline Improvement Ideas Submitted and Implemented / Month per 100 Employees.</t>
  </si>
  <si>
    <t>A25.6</t>
  </si>
  <si>
    <t>Refresher / Recertification Cadence</t>
  </si>
  <si>
    <t>There is no refresher or recertification cadence for any role; training is a one-time event at hiring, with skills/knowledge assumed to persist indefinitely (including for food-safety and safety-critical roles).</t>
  </si>
  <si>
    <t>Refreshers happen occasionally and informally (e.g., after an incident) but are not scheduled or tracked.</t>
  </si>
  <si>
    <t>A defined refresher cadence exists for the majority of safety-critical and food-safety roles, tracked via a checklist, though adherence to the schedule is inconsistent.</t>
  </si>
  <si>
    <t>The refresher cadence covers over 90% of applicable roles with tracked adherence, and content is updated when SOPs or regulations change.</t>
  </si>
  <si>
    <t>The refresher/recertification cadence covers 100% of applicable roles, is systematically tracked with automated due-date reminders, and compliance is sustained at a defined benchmark (e.g., 98%+) across consecutive cycles.</t>
  </si>
  <si>
    <t xml:space="preserve">• Is there a defined refresher/recertification cadence for safety-critical and food-safety roles, or is training a one-time event at hiring?
• What % of applicable roles/employees are covered by the cadence, and what is current recertification compliance %?
• Are refreshers scheduled and tracked, or only triggered informally after an incident?
• Is content updated when SOPs or regulations change, with automated due-date reminders in place?</t>
  </si>
  <si>
    <t>Recertification Compliance % = Employees Recertified Within the Defined Cadence / Total Employees Due for Recertification x 100.</t>
  </si>
  <si>
    <t>target_level</t>
  </si>
  <si>
    <t>target_level_name</t>
  </si>
  <si>
    <t>recommended_tasks</t>
  </si>
  <si>
    <t>Basic</t>
  </si>
  <si>
    <t>Introduce a basic slot-booking mechanism (even a phone/WhatsApp register) so vendors commit to an arrival window, and start flagging peak-hour bunching so the problem is visible.</t>
  </si>
  <si>
    <t>Standardized</t>
  </si>
  <si>
    <t xml:space="preserve">Deploy a digital appointment scheduler with defined slot windows.
 Mark and start enforcing a driver holding area away from the gate.
 Begin manually logging dock-in time.</t>
  </si>
  <si>
    <t>Managed</t>
  </si>
  <si>
    <t xml:space="preserve">Enforce system-generated slot windows with daily adherence tracking.
 Formalize and signpost the holding area.
 Start using dock-in time as the official Service Level Agreement (SLA) start-point for Goods Receipt Note (GRN) Turnaround Time (TAT).
 Roll out Quick Response (QR)/Booking-ID confirmations to the majority of vendors.</t>
  </si>
  <si>
    <t>Best-in-class</t>
  </si>
  <si>
    <t xml:space="preserve">Automate vendor slot notifications and load-spread balancing across shift hours.
 Give the holding area real-time occupancy visibility.
 Make dock-in time system-captured with automated GRN-TAT breach alerts.
 Push QR/Booking-ID scanning above 90% of vendors with zero manual slot entries.</t>
  </si>
  <si>
    <t xml:space="preserve">Introduce a single documentation checklist (vendor, invoice, indent qty) applied before unloading, even generic across vendor/courier.
 Start logging driver-ID and vehicle-number at the gate.</t>
  </si>
  <si>
    <t xml:space="preserve">Split the checklist by vehicle type (vendor vs. courier).
 Check driver-ID/vehicle-number against the slot for a defined share of vehicles.
 Start temperature checks scoped specifically to 4°C SKUs (mushrooms etc.).</t>
  </si>
  <si>
    <t xml:space="preserve">Introduce barcode/Optical Character Recognition (OCR)-assisted matching to raise pre-unload verification coverage.
 Apply the &gt;3°C-deviation temp-reject rule consistently for 4°C SKUs.
 Push driver-ID/vehicle authentication to the majority of vehicles.
 Log 100% of reefer vehicle temperatures.</t>
  </si>
  <si>
    <t xml:space="preserve">Fully digitize gate verification end-to-end with an automated exception-flagging audit trail.
 Extend driver-ID/vehicle authentication and the temp-reject rule to over 90% of vehicles with zero exceptions.</t>
  </si>
  <si>
    <t xml:space="preserve">Introduce an informal capacity check (even a phone call to the dock supervisor) before releasing any vehicle.
 Designate (even if unenforced) a waiting/parking zone for held vehicles.
 Start issuing an exit slip on gate-out.</t>
  </si>
  <si>
    <t xml:space="preserve">Define a formal capacity check with a stated time window (e.g., 15 minutes for dock bay plus staging space) and route 'no' decisions to the holding area.
 Introduce a basic reject-vs-hold rule.
 Make exit-slip issuance standard.</t>
  </si>
  <si>
    <t xml:space="preserve">Extend capacity-gated release to the majority of gate-ins.
 Formalize the full reject/temp-reject/hold/bypass decision taxonomy.
 Add outbound-seal verification to gate-out.
 Install physical enablers (multi-lane entry, boom barrier, Closed-Circuit Television (CCTV)/tablet).</t>
  </si>
  <si>
    <t xml:space="preserve">Push capacity-gated release above 90% in real time, tied live to the dock-management and staging systems.
 Apply the full decision taxonomy with a complete audit trail.
 Make gate-out fully controlled (exit slip plus seal verification on 100% of dispatches).
 Add a weighbridge where applicable.</t>
  </si>
  <si>
    <t xml:space="preserve">Start rolling out biometric/facial-recognition coverage at main shift changeovers.
 Begin ad hoc zone-wise entry counts for at least the highest-risk zones (S&amp;G, packing).</t>
  </si>
  <si>
    <t xml:space="preserve">Extend facial-recognition coverage to the main changeover shifts.
 Define a warehouse-sizing-based headcount norm per zone and track actuals against it periodically.</t>
  </si>
  <si>
    <t xml:space="preserve">Extend biometric coverage to all shifts and gates.
 Integrate zone-wise entry capture with the attendance system and reconcile daily against the sizing-based plan.</t>
  </si>
  <si>
    <t xml:space="preserve">Push to 100% biometric plus physical-check coverage across all shifts/gates.
 Move zone-wise capture to real time with automated variance alerts against the sizing-based headcount plan.</t>
  </si>
  <si>
    <t>Number the docks consistently and start using a manual dock-allocation sheet instead of ad hoc assignment.</t>
  </si>
  <si>
    <t>Define dock allocation rules by vehicle size and start enforcing First-In-First-Out (FIFO) sequencing at the dock.</t>
  </si>
  <si>
    <t xml:space="preserve">Move to system-based dock scheduling with size-matched allocation.
 Push FIFO adherence above 90% and guarantee green-channel vehicles unload within 15 minutes.</t>
  </si>
  <si>
    <t>Automate dock-vehicle matching with real-time queuing to push utilization above 90%, FIFO adherence to 100%, and green-channel wait time under 10 minutes.</t>
  </si>
  <si>
    <t xml:space="preserve">Fit buffers on at least a quarter of docks, prioritizing the highest-traffic ones.
 Start logging dock-damage incidents (even informally) as they happen.</t>
  </si>
  <si>
    <t xml:space="preserve">Expand buffer coverage toward the halfway mark.
 Introduce a formal, if basic, penalty (warning/fine) for a driver's repeat dock-damage incident.
 Begin monthly physical dock-structure inspections logged separately from buffer damage.</t>
  </si>
  <si>
    <t xml:space="preserve">Push buffer coverage into the 75-95% range.
 Formalize a graded penalty scale (warning to fine to vendor/transporter review) for repeat offenders.
 Move dock-structure inspection to weekly with defects tracked to closure.</t>
  </si>
  <si>
    <t xml:space="preserve">Complete buffer coverage to 100%.
 Enforce the graded penalty scale strictly to hold repeat-offense rate under 2%.
 Run a preventive maintenance schedule and verify zero unresolved structural damage via weekly inspection.</t>
  </si>
  <si>
    <t xml:space="preserve">Define a target unloading Service Level Agreement (SLA) (~500 units/person/hour for pre-packed material) and start marking a palletisation zone, even loosely.
 Introduce an informal pre-packed bypass flag for known vendors.</t>
  </si>
  <si>
    <t xml:space="preserve">Assign dock-wise supervisor-led unloading teams.
 Enforce the crate-stacking Standard Operating Procedure (SOP) and keep the palletisation/S&amp;G zones marked.
 Relocate waste disposal away from the inbound gate.
 Extend the bypass flag to 30-60% of eligible pre-packed loads.</t>
  </si>
  <si>
    <t xml:space="preserve">Push supervisor-led teams to every shift.
 Mark First-In-First-Out (FIFO) lanes for S&amp;G and a separate dry-category lane.
 Raise crate-stacking SOP compliance and bypass-flag usage into the 60-90% range.</t>
  </si>
  <si>
    <t xml:space="preserve">Drive unloading SLA, crate-stacking, and bypass-flag compliance above 90% with zero space-constraint or cross-flow incidents.
 Fully integrate the bypass flag into the load-declaration/Goods Receipt Note (GRN) step.</t>
  </si>
  <si>
    <t xml:space="preserve">Set an unloading-start trigger immediately after dock-in to cut down not-initiated vehicles.
Target unloading TAT under 90 minutes per vehicle.</t>
  </si>
  <si>
    <t xml:space="preserve">Start logging unloading TAT per vehicle for the majority of dock-ins.
Log unloading-not-initiated incidents as a separate category and review them periodically.
Target unloading TAT of 40-60 minutes.</t>
  </si>
  <si>
    <t xml:space="preserve">Review unloading TAT daily against a defined SLA.
Define a maximum allowable time between dock-in and unloading start, and track adherence.
Root-cause unloading-not-initiated incidents weekly.
Target unloading TAT of 25-40 minutes.</t>
  </si>
  <si>
    <t xml:space="preserve">Move unloading TAT tracking to real time and feed it into the Dock-to-Stock Time KPI.
Enforce prompt unloading initiation per SLA for every dock-in with zero exceptions.
Hold unloading TAT under 25 minutes for over 90% of dock-ins.</t>
  </si>
  <si>
    <t xml:space="preserve">Start piloting digital weighment integration with the Warehouse Management System (WMS)/Goods Receipt Note (GRN) system on a subset of lanes.
 Establish a minimum 1.5m clear aisle between weighment and staging.
 Put scale calibration on a defined (even if not daily) schedule.</t>
  </si>
  <si>
    <t xml:space="preserve">Extend digital weighment integration to 30-60% of transactions.
 Begin shifting weighment to the unloading stage (ahead of S&amp;G) for some vendor categories to cut Purchase Order (PO)-closure delay.</t>
  </si>
  <si>
    <t xml:space="preserve">Push digital weighment coverage to 60-90%.
 Make weighment-at-unloading-stage the default for the majority of vendors.
 Move scale recalibration to daily with tare memory per packaging type.
 Retain digital weight logs as an audit trail.</t>
  </si>
  <si>
    <t xml:space="preserve">Complete digital weighment integration above 90% with zero manual entry.
 Make same-day PO closure the norm.
 Use the digital weight log routinely for supplier invoice reconciliation and shrinkage analysis.</t>
  </si>
  <si>
    <t>Define size/quality standards and a throughput Service Level Agreement (SLA) (~70 units/person/hour) for the first 30% of SKUs/stations, even if compliance is uneven.</t>
  </si>
  <si>
    <t xml:space="preserve">Extend standards and throughput-SLA tracking to 30-60% of SKUs/stations.
 Start assigning experienced manpower to piece-category SKUs, even if inconsistently.</t>
  </si>
  <si>
    <t xml:space="preserve">Extend to 60-90% of SKUs/stations with monthly grading-accuracy audits above 90%.
 Make experienced-manpower assignment for piece-category SKUs consistent.</t>
  </si>
  <si>
    <t>Complete standards and SLA tracking for 100% of SKUs/stations with weekly audits above 95% accuracy and a corrective feedback loop.</t>
  </si>
  <si>
    <t>Set the 4-person-per-table norm and start applying an S&amp;G-to-packing table ratio, even if compliance is under 40%.</t>
  </si>
  <si>
    <t xml:space="preserve">Push table-norm and ratio compliance into the 40-70% range.
 Begin an inter-vendor cleaning step, even if inconsistent.</t>
  </si>
  <si>
    <t xml:space="preserve">Monitor table norm and ratio adherence via regular floor walks to reach 70-95%.
 Make inter-vendor cleaning standard practice.</t>
  </si>
  <si>
    <t xml:space="preserve">Maintain over 95% adherence with real-time floor supervision.
 Enforce inter-vendor cleaning with zero cross-contamination incidents.</t>
  </si>
  <si>
    <t xml:space="preserve">Define packaging material (nets/boxes/LDPE) for at least half of SKUs.
Introduce an informal packing method for packers to follow.
Add a formed-box staging shelf to a few lines to clear the worktop.
Identify vendors capable of packing to FC standard and stop re-packing their shipments.</t>
  </si>
  <si>
    <t xml:space="preserve">Define packaging material for 100% of SKUs.
Document a packing method/SOP and roll it out to 30-60% of lines.
Extend the formed-box staging shelf to 30-60% of lines.
Align 30-60% of applicable vendors to pack-to-standard, removing their re-pack step.
Set up a dedicated chilled packing station for 30-60% of chilled-SKU shifts.</t>
  </si>
  <si>
    <t xml:space="preserve">Extend the documented packing method/SOP to 60-90% of lines.
Extend the formed-box staging shelf standard to 60-90% of lines.
Align 60-90% of applicable vendors to pack-to-standard.
Extend the dedicated chilled packing station to 60-90% of chilled-SKU shifts.</t>
  </si>
  <si>
    <t xml:space="preserve">Roll out the packing method/SOP and formed-box staging shelf standard to all lines.
Eliminate the re-pack sub-process for over 90% of applicable vendors.
Run 100% of chilled SKUs through a dedicated chilled packing station, audited monthly.</t>
  </si>
  <si>
    <t xml:space="preserve">Define a shift-level packing productivity SLA against category benchmarks (net roll ~90/hr, punnet ~100/hr, LDPE bags ~100/hr).
Start tracking productivity for at least 30% of lines.
Target 60-80 units/person/hour.</t>
  </si>
  <si>
    <t xml:space="preserve">Extend SLA tracking to 30-60% of lines, trending toward category benchmarks.
Start benchmarking leafy gang output against the 400-500 packets/person/day target for at least some shifts.
Target 80-100 units/person/hour.</t>
  </si>
  <si>
    <t xml:space="preserve">Extend SLA tracking to 60-90% of lines and close the gap to category benchmarks (net roll ~90/hr, punnet ~100/hr, LDPE bags ~100/hr).
Track leafy gang output daily against the 400-500 packets/person/day target.
Build a 4-cutter + 6-packer leafy gang and push it toward 4,000+ packets/day.
Target 100-120 units/person/hour.</t>
  </si>
  <si>
    <t xml:space="preserve">Extend SLA tracking to over 90% of lines, consistently at or above benchmark.
Sustain the 4-cutter + 6-packer leafy gang at 4,000+ packets/day, tracked and improved monthly.
Confirm packing material and method (Packing Norms) are mature enough to support this productivity level.</t>
  </si>
  <si>
    <t xml:space="preserve">Start tracking packing accuracy as a distinct metric, in aggregate.
Target 96-97% accuracy.</t>
  </si>
  <si>
    <t xml:space="preserve">Move from aggregate to per-packer/per-shift tracking for the majority of lines.
Target 97-98% accuracy.</t>
  </si>
  <si>
    <t xml:space="preserve">Review per-packer/per-shift accuracy daily.
Target 98-99% accuracy.</t>
  </si>
  <si>
    <t xml:space="preserve">Move accuracy tracking to real time, per packer.
Target above 99% accuracy.</t>
  </si>
  <si>
    <t>Start measuring the repack/re-stickering rate consistently, even without a target yet, to get past pure anecdote.</t>
  </si>
  <si>
    <t>Set a 5% target and begin cause-coding rework into its specific drivers (banana re-sort, late ripeness segregation, idle organic-table time).</t>
  </si>
  <si>
    <t>Act on the cause-coded drivers - stop banana re-sorting, move ripeness segregation to the S&amp;G stage, convert the organic table to multi-use - tracking weekly to bring the rate into the 2-5% range.</t>
  </si>
  <si>
    <t>Sustain elimination of all three root causes for 2+ consecutive quarters, tracking daily, to hold the repack rate under 2%.</t>
  </si>
  <si>
    <t>Start tracking shrinkage in aggregate (even without category splits) to establish a baseline against the 5% ceiling.</t>
  </si>
  <si>
    <t xml:space="preserve">Split shrinkage tracking by Stock-Keeping Unit (SKU) category against benchmark ranges.
 Start tracking seasonal Return to Vendor (RTV) loss by season.</t>
  </si>
  <si>
    <t xml:space="preserve">Push category-level shrinkage within benchmark for over 80% of categories.
 Review the seasonal-loss trend monthly with corrective action for outliers.</t>
  </si>
  <si>
    <t>Hold shrinkage at or below benchmark for all categories and seasonal loss at 1.5% or below even in monsoon, with monthly root-cause review and documented reduction actions.</t>
  </si>
  <si>
    <t>Mark rough Wave Staging, Holding, and Reject/Dump zones (even with overlap) and start tracking picking Service Level Agreement (SLA) against the 600 units/person/hour benchmark for at least some shifts.</t>
  </si>
  <si>
    <t xml:space="preserve">Reduce zone overlap and introduce a (even inconsistent) clearance routine for the dump/reject corner.
 Define a maximum DoH target for held material.</t>
  </si>
  <si>
    <t xml:space="preserve">Eliminate zone overlap on 70-95% of days with a timed clearance Standard Operating Procedure (SOP) for the dump/reject corner.
 Track and mostly meet the DoH SLA.</t>
  </si>
  <si>
    <t xml:space="preserve">Sustain zero zone overlap and a fully followed clearance SOP with zero aged-waste incidents.
 Meet the DoH SLA on over 95% of days as part of routine floor governance.</t>
  </si>
  <si>
    <t>Start tracking picking accuracy distinctly, even in aggregate, to establish a baseline above 95%.</t>
  </si>
  <si>
    <t>Track it per shift alongside the picking Service Level Agreement (SLA) to push it into the 97-98.5% band.</t>
  </si>
  <si>
    <t>Root-cause accuracy incidents weekly to push it into the 98.5-99.5% band.</t>
  </si>
  <si>
    <t>Move to real-time per-picker tracking with daily root-causing to sustain accuracy above 99.5%.</t>
  </si>
  <si>
    <t xml:space="preserve">Define a picking productivity SLA against the ~2,500 units/person/hour benchmark.
Start tracking it for at least 30% of shifts.</t>
  </si>
  <si>
    <t>Extend SLA tracking to 30-60% of shifts against the ~2,500 units/person/hour benchmark.</t>
  </si>
  <si>
    <t>Extend SLA tracking to 60-90% of shifts and close the gap to benchmark.</t>
  </si>
  <si>
    <t xml:space="preserve">Extend SLA tracking to over 90% of shifts.
Move tracking to per-picker, real time.
Sustain performance at or above the ~2,500 units/person/hour benchmark.</t>
  </si>
  <si>
    <t>Start tracking not-found % distinctly to establish a baseline below 5%.</t>
  </si>
  <si>
    <t>Track it per shift to push it into the 1-2% band.</t>
  </si>
  <si>
    <t>Root-cause incidents weekly to push it into the 0.5-1% band.</t>
  </si>
  <si>
    <t>Move to real-time per-picker tracking with daily root-causing feeding into inventory-accuracy and slotting decisions, holding it under 0.5%.</t>
  </si>
  <si>
    <t>Start reconciling system and physical allocation, even if only after the fact, instead of leaving them fully independent.</t>
  </si>
  <si>
    <t>Introduce scanner-based allocation for some dispatches, even if not yet simultaneous with physical completion.</t>
  </si>
  <si>
    <t>Make scanner-based allocation with simultaneous system/physical completion standard for the majority of dispatches.</t>
  </si>
  <si>
    <t>Push scanner-based, simultaneous allocation to 100% of dispatches, eliminating hub-level inventory mismatches entirely.</t>
  </si>
  <si>
    <t xml:space="preserve">Define a loading SLA against the benchmark (~500 units/person/hour, or 5 pallets/person/hour, or 150 crates/person/hour) and start tracking it for at least 30% of dispatches.
Introduce load sequencing (heavy-at-bottom, fragile-on-top) even if informal.
Start reconciling crate/pallet counts against the STN for at least 30% of dispatches.
Begin checking seal/tarpaulin/curtain closure before exit, even if inconsistent.
Introduce an informal reefer pre-cooling check before loading.
Start requiring dock/bay confirmation before loading, even if not fully enforced.
Begin checking exit documentation (e-way bill, loading slip) for at least 30% of dispatches.</t>
  </si>
  <si>
    <t xml:space="preserve">Extend loading SLA tracking to 30-60% of dispatches.
Apply heavy-at-bottom/fragile-on-top sequencing consistently, and start sequencing by delivery route.
Extend STN count reconciliation to 30-60% of dispatches.
Extend seal/tarpaulin/curtain verification to 30-60% of dispatches.
Define and apply a reefer pre-cooling check for 30-60% of reefer dispatches.
Enforce dock/bay confirmation before loading for the majority of vehicles.
Extend exit-documentation verification to 30-60% of dispatches.</t>
  </si>
  <si>
    <t xml:space="preserve">Extend loading SLA tracking to 60-90% of dispatches, closing the gap to benchmark.
Add delivery-route sequencing on top of heavy-at-bottom/fragile-on-top, covering 60-90% of dispatches.
Extend STN reconciliation to 60-90% of dispatches.
Extend seal/tarpaulin/curtain verification to 60-90% of dispatches.
Extend the reefer pre-cooling check to 60-90% of reefer dispatches.
Enforce zero loading without a confirmed dock/bay.
Extend exit-documentation verification to 60-90% of dispatches.</t>
  </si>
  <si>
    <t xml:space="preserve">Extend loading SLA tracking to over 90% of dispatches, consistently at or above benchmark.
Eliminate load mis-sequencing incidents across all three sequencing dimensions.
Extend STN reconciliation to over 95% of dispatches, completed before the vehicle leaves.
Verify seal/tarpaulin/curtain closure on 100% of dispatches and log it as part of the exit record.
Confirm reefer pre-cooling before loading on 100% of reefer dispatches.
Extend exit-documentation verification to 100% of dispatches before exit.</t>
  </si>
  <si>
    <t>Start timing Stock Transfer Note (STN) Ready Time to establish a baseline below 60 minutes.</t>
  </si>
  <si>
    <t>Identify and remove the biggest bottleneck between STN creation and ready-status to push it into the 25-40 minute band.</t>
  </si>
  <si>
    <t>Track it with rider/route-level breakdown to push it into the 10-25 minute band.</t>
  </si>
  <si>
    <t>Move to real-time tracking to sustain it under 10 minutes.</t>
  </si>
  <si>
    <t>Start timing outbound vehicle wait time to establish a baseline below 60 minutes.</t>
  </si>
  <si>
    <t>Identify and remove the biggest wait-time bottleneck to push it into the 25-40 minute band.</t>
  </si>
  <si>
    <t>Track it with route-level breakdown to push it into the 15-25 minute band.</t>
  </si>
  <si>
    <t>Move to real-time tracking to sustain it under 15 minutes.</t>
  </si>
  <si>
    <t xml:space="preserve">Define scheduled dispatch/wave timings.
Target dispatch SLA of 70-80%, and start addressing routine misses.</t>
  </si>
  <si>
    <t xml:space="preserve">Tighten adherence to scheduled dispatch/wave timings.
Target dispatch SLA of 80-90%.</t>
  </si>
  <si>
    <t xml:space="preserve">Add rider/route-level breakdown to dispatch SLA tracking.
Target dispatch SLA of 90-98%.</t>
  </si>
  <si>
    <t xml:space="preserve">Move dispatch SLA tracking to real time across the full pack-to-dispatch-to-handover chain.
Target dispatch SLA above 98%.</t>
  </si>
  <si>
    <t>Document at least 3-4 of the 9 core Quality Management System (QMS) elements, starting with policy, SOPs, and a responsibility matrix.</t>
  </si>
  <si>
    <t>Complete documentation for 5-6 elements and put them into active use, with at least an annual review cycle.</t>
  </si>
  <si>
    <t>Extend to 7-8 elements with quarterly review and clear ownership assigned to each.</t>
  </si>
  <si>
    <t>Complete all 9 elements, version-control them, and link them to a closed-loop Corrective and Preventive Action (CAPA) process with under 5-day average closure time.</t>
  </si>
  <si>
    <t xml:space="preserve">Formalize an informal RTV process even without full SKU segmentation.
Target 30-50% same-day closure for FnV/perishable, crate-based returns.
Establish a rough holding corner for pending returns.</t>
  </si>
  <si>
    <t xml:space="preserve">Define the RTV policy separately by SKU category - FnV/perishable vs. bulk commodity.
Target 50-75% same-day closure for FnV/perishable returns, reflecting that liability and crates stay with the organization until returned.
Set a 3-day closure target for bulk-commodity SKUs (onion, potato, and similar) and hit it for the majority of cases.
Mark a physical RTV zone to separate pending returns from active inventory.</t>
  </si>
  <si>
    <t xml:space="preserve">Track RTV closure separately for FnV/perishable and bulk-commodity SKUs.
Push FnV/perishable same-day closure to 75-95%.
Push bulk-commodity 3-day closure above 90%.
Convert the marked RTV zone into a dedicated, physically segregated zone and review it weekly for aged material.</t>
  </si>
  <si>
    <t xml:space="preserve">Fully systemize RTV tracking by SKU category.
Push FnV/perishable same-day closure above 95% with zero aged-return inventory beyond 24 hours.
Push bulk-commodity 3-day closure above 95%.
Enforce zero mixing between the dedicated RTV zone and active inventory, auditing it as part of routine floor governance.</t>
  </si>
  <si>
    <t xml:space="preserve">Start tracking complaint % of total orders, alongside a raw complaint count.
Add one to two more of the 9 metrics to reach 2-3 tracked.</t>
  </si>
  <si>
    <t xml:space="preserve">Introduce Net Promoter Score (NPS) tracking (positive feedback calls / total calls picked).
Add the refund % of sales value splits (overall, quality-driven, shortage-driven) to reach 4-6 of the 9 metrics tracked.
Start performing Root Cause Analysis (RCA) for some complaints.
Introduce Corrective and Preventive Action (CAPA), even without a defined Turnaround Time (TAT).</t>
  </si>
  <si>
    <t xml:space="preserve">Extend tracking to 7-8 of the 9 metrics, reported monthly.
Perform RCA for the majority of complaints.
Define a CAPA TAT, even if not yet consistently met.</t>
  </si>
  <si>
    <t xml:space="preserve">Track and report all 9 metrics: NPS, complaint %, quality-complaint %, shortage/wrong-product-complaint %, refund % of sales value, quality-refund %, and shortage-refund %.
Perform RCA for every complaint, with no exceptions.
Close every complaint through CAPA within a defined TAT, fully closed-loop.</t>
  </si>
  <si>
    <t xml:space="preserve">Start logging near-miss/safety incidents, even if only reactively after an injury.
Designate an emergency assembly/muster point.
Sign fire-extinguisher locations in at least a few areas.
Begin informally checking safety-footwear compliance on some floor staff.</t>
  </si>
  <si>
    <t xml:space="preserve">Log near-miss incidents daily and add a monthly review cycle.
Sign and communicate the muster point so the majority of staff know it.
Extend fire-extinguisher signage to 30-60% of required points.
Extend safety-footwear compliance checks to 30-60% of floor staff and executives.</t>
  </si>
  <si>
    <t xml:space="preserve">Review incident logs daily and track corrective actions to closure for the majority of incidents.
Run an annual drill at the muster point.
Extend fire-extinguisher signage to 60-90% of required points.
Extend safety-footwear compliance checks to 60-90% of staff, including during floor walks.</t>
  </si>
  <si>
    <t xml:space="preserve">Close corrective actions within a defined SLA, targeting zero reportable incidents and under 1 near-miss per month.
Make the muster point known to 100% of staff and drill it twice a year.
Complete fire-extinguisher signage at 100% of required points.
Enforce and check safety-footwear compliance daily for 100% of floor staff and executives.</t>
  </si>
  <si>
    <t xml:space="preserve">Increase manual spot-checks to a few times a day, targeting 70-85% compliance.
Begin checking blower air-circulation whenever a complaint arises.
Start applying FEFO/FIFO inside cold storage, even inconsistently.</t>
  </si>
  <si>
    <t xml:space="preserve">Move to daily manual temperature logging for the main cold zones, targeting 85-95% compliance.
Install IoT door-open/temperature-breach alerts for under 50% of zones.
Digitize temperature logs for 30-60% of zones.
Document a door-open-duration threshold (30 seconds to 1 minute), even if not yet consistently enforced.
Install auto-closing doors in some zones.
Move blower air-circulation checks to a monthly cadence.
Extend FEFO/FIFO discipline to the majority of cold-storage SKUs.
Set up a shared space for pre-dispatch allocation, even if not yet dedicated.</t>
  </si>
  <si>
    <t xml:space="preserve">Move to continuous sensor monitoring with daily breach review for the majority of cold-chain zones, targeting 95-98% compliance.
Extend IoT door-open/breach alerts, with automatic stakeholder messaging, to 60-90% of zones.
Extend digital logging to 60-90% of zones.
Enforce the 30-second-to-1-minute door-open threshold for 60-90% of doors.
Extend auto-closing doors (openable from inside for staff safety) to the majority of cold zones.
Move blower air-circulation checks to a weekly cadence.
Enforce FEFO/FIFO for the majority of cold-storage SKUs.
Set up a dedicated ante-room for pre-dispatch allocation on most shifts.</t>
  </si>
  <si>
    <t xml:space="preserve">Extend continuous sensor monitoring with real-time breach alerts to 100% of cold-chain zones, targeting over 98% compliance.
Extend IoT door-open/breach alerts with automatic messaging to 100% of zones.
Eliminate manual/paper logging - digitize 100% of zones.
Enforce the door-open threshold with zero exceptions, logging every breach as a violation.
Fit auto-closing doors (openable from inside) across all cold zones.
Verify blower air-circulation as unobstructed on every audit.
Eliminate FEFO/FIFO violations entirely.
Use the dedicated ante-room for 100% of pre-dispatch frozen/chilled allocation.</t>
  </si>
  <si>
    <t xml:space="preserve">Fix a sampling rate of 5-10% of inbound lots.
Require quality-team sign-off before GRN posting, even if this initially happens after put-away.
Introduce a written AQR format, even without consistently applied cutoffs.
Start recording rejection data, even without vendor/SKU segmentation.</t>
  </si>
  <si>
    <t xml:space="preserve">Fix sampling at approximately 10% of received quantity.
Set a 20% defect-rate threshold for full-lot rejection.
Link GRN approval procedurally to quality-team clearance, even if manual/paper-based.
Apply the defined AQR (10% sampling, reject if defect &gt;20%) to the majority of lots, completed before unloading begins.
Track QC reject % and vehicle rejection % in aggregate.</t>
  </si>
  <si>
    <t xml:space="preserve">Segment the 10%/20% sampling and rejection norms by category (FnV vs dry).
Enforce batch/expiry checks and 70-80% shelf-life checks.
Block GRN posting until the quality team records clearance against the defined procedure.
Extend AQR completion before unloading to 85-95% of lots.
Split QC reject % and vehicle rejection % by vendor and SKU to feed a periodic supplier scorecard.</t>
  </si>
  <si>
    <t xml:space="preserve">Digitally log sampling and rejection norms per SKU category, driving inspection-error rate below 2%.
Add monthly trend analysis on rejection causes.
Make GRN approval system-enforced with zero exceptions, with a full inspector sign-off audit trail.
Extend AQR completion before unloading to over 95% of lots with zero exceptions.
Move QC reject %/vehicle rejection % by vendor and SKU to real time, driving an automated, continuously updated supplier scorecard.</t>
  </si>
  <si>
    <t>Run a 5S pilot in one area and start basic floor demarcation there (aisles, storage) to lift the audit score above 40%.</t>
  </si>
  <si>
    <t xml:space="preserve">Extend Sort/Set/Shine facility-wide with quarterly audits.
 Expand demarcation to include S&amp;G/packing space and storage marking.</t>
  </si>
  <si>
    <t xml:space="preserve">Standardize 5S across all zones with monthly audits and biannual training.
 Extend demarcation to buffer-pallet staging and packaging-material storage.</t>
  </si>
  <si>
    <t xml:space="preserve">Sustain 5S with daily checks and a documented Kaizen count.
 Complete 100% zone demarcation (including tools/machinery) with colour-coding, auditing demarcation adherence as part of the daily check.</t>
  </si>
  <si>
    <t xml:space="preserve">Formally define value from the customer's perspective for at least one process (value definition).
Map the current-state value stream for one high-impact process (e.g., inbound to putaway).
Start applying Plan-Do-Check-Act (PDCA) on pilot processes, targeting under 20% coverage.</t>
  </si>
  <si>
    <t xml:space="preserve">Introduce the flow principle: pilot single-piece flow on one packing line instead of batch movement.
Expand PDCA coverage to 20-50% of processes.
Start tracking 2-3 of the 8 lean waste types (e.g., overproduction, waiting).</t>
  </si>
  <si>
    <t xml:space="preserve">Roll out pull-based replenishment: trigger restock only when bins hit reorder point (Just-In-Time).
Scale the PDCA cycle to 50-80% of processes.
Expand waste tracking to 5-6 of the 8 types and set quarterly reduction targets.</t>
  </si>
  <si>
    <t xml:space="preserve">Embed continuous improvement (Kaizen) as the 5th principle across all shifts.
Extend the PDCA cycle to over 80% of processes.
Track all 8 lean waste types with year-on-year reduction targets above 10%.</t>
  </si>
  <si>
    <t xml:space="preserve">Classify SKUs into ethylene-releasing vs ethylene-sensitive categories, starting with top-moving SKUs.
Flag commingling of releasing and sensitive produce as a known risk, even before fixing it.</t>
  </si>
  <si>
    <t xml:space="preserve">Complete SKU-level ethylene classification across the full catalog.
Define a minimum separation distance between releasing and sensitive produce.
Attempt physical separation at putaway, even without dedicated zones.</t>
  </si>
  <si>
    <t xml:space="preserve">Assign dedicated zones for ethylene-releasing vs ethylene-sensitive SKUs.
Enforce the minimum separation distance during putaway and staging.
Start logging spoilage incidents suspected to be ethylene-related.</t>
  </si>
  <si>
    <t xml:space="preserve">Tie ethylene classification to the SKU master, updating automatically for new SKUs.
Enforce zoning through system-directed putaway, removing manual override.
Track ethylene cross-contamination spoilage as a formal monthly KPI, targeting near-zero.</t>
  </si>
  <si>
    <t xml:space="preserve">Assign SLP responsibility to a manager, even informally, as a first point of accountability.
Start logging theft/loss cases separately from general shrinkage.
Install Closed-Circuit Television (CCTV) in the highest-risk zones (dock, storage).</t>
  </si>
  <si>
    <t xml:space="preserve">Appoint a dedicated SLP role (part-time or shared) with a clear reporting line.
Define a manual case-closure process and apply it to the majority of flagged cases.
Extend CCTV coverage to all high-risk zones, reviewing footage after incidents.</t>
  </si>
  <si>
    <t xml:space="preserve">Formalize the SLP function with a defined charter and reporting line.
Investigate and close over 80% of flagged cases with documented outcomes.
Add access-control at all high-risk zones and monitor CCTV proactively, not just post-incident.
Start tracking theft/loss rate monthly.</t>
  </si>
  <si>
    <t xml:space="preserve">Embed the SLP team in warehouse governance with a clear mandate.
Close 100% of flagged cases with documented outcomes, no backlog.
Extend CCTV and access-control to all zones, not just high-risk ones.
Drive a sustained month-on-month decline in the theft/loss rate.</t>
  </si>
  <si>
    <t xml:space="preserve">Sketch an informal process architecture for the end-to-end material and information flow.
Document flow diagrams/steps for 30-50% of individual processes.</t>
  </si>
  <si>
    <t xml:space="preserve">Formally define the process architecture, covering the major material and information flows.
Extend documented flow diagrams/steps to 50-75% of processes.
Set up an annual review cycle.</t>
  </si>
  <si>
    <t xml:space="preserve">Document and version-control the process architecture, extending it to cover the full material and information flow.
Extend flow diagram/step documentation to 75-95% of processes.
Move the review cycle to twice a year.</t>
  </si>
  <si>
    <t xml:space="preserve">Establish the process architecture as the reference model for onboarding and audits.
Extend flow diagram/step documentation to over 95% of processes with zero undocumented recurring processes.
Move the review cycle to quarterly.</t>
  </si>
  <si>
    <t>Assign process owners informally, even without documentation, for 30-50% of processes.</t>
  </si>
  <si>
    <t xml:space="preserve">Document a Responsible/Accountable/Consulted/Informed (RACI)-style ownership matrix, extending coverage to 50-75% of processes.
Set up an annual review cycle.</t>
  </si>
  <si>
    <t xml:space="preserve">Version-control the RACI matrix and extend coverage to 75-95% of processes.
Define escalation owners.
Move the review cycle to twice a year.</t>
  </si>
  <si>
    <t xml:space="preserve">Extend the RACI matrix to over 95% of processes with zero processes lacking a named owner.
Move the review cycle to quarterly.</t>
  </si>
  <si>
    <t xml:space="preserve">Extend SOP documentation of standard and exception scenarios to 30-50%.
Begin documenting major exception flows, even if most remain undocumented.</t>
  </si>
  <si>
    <t xml:space="preserve">Extend SOP documentation to 50-75% of scenarios, including major exception scenarios.
Define an approval matrix for exception/deviation handling (who can approve what, at what level), even if it covers under 50% of exception scenarios.</t>
  </si>
  <si>
    <t xml:space="preserve">Extend SOP documentation to 75-95% of scenarios, version-controlled and reviewed twice a year.
Extend the exception approval matrix to cover 50-90% of exception scenarios with a documented approval path.</t>
  </si>
  <si>
    <t xml:space="preserve">Extend SOP documentation to over 95% of scenarios, digitized and reviewed quarterly, with zero undocumented recurring exceptions.
Extend the exception approval matrix to cover over 90% of exception scenarios, each with a documented, enforced approval path.</t>
  </si>
  <si>
    <t>Define mandatory scan points for at least 30% of required journey stages, even if scans remain bypassable.</t>
  </si>
  <si>
    <t xml:space="preserve">Extend defined mandatory scan points to 30-60% of journey stages, covering the major handover points.
Begin enforcing scans as non-skippable for up to 60% of defined points.</t>
  </si>
  <si>
    <t xml:space="preserve">Extend defined mandatory scan points to 60-90% of journey stages, rationalizing to the fewest points that preserve full traceability.
Extend enforcement (non-skippable) to 60-95% of defined points.</t>
  </si>
  <si>
    <t xml:space="preserve">Extend mandatory scan-point coverage to over 90% of journey stages, rationalized to the minimum set that still delivers complete traceability.
Enforce every defined scan point as non-skippable, closing all traceability gaps.</t>
  </si>
  <si>
    <t>Add a second forecasting layer (e.g., seasonal on top of baseline) to lift forecast accuracy above 60%.</t>
  </si>
  <si>
    <t xml:space="preserve">Add a third layer (event-based) and start tracking time-of-day demand curves for at least half of SKUs/stores.
 Give new stores a defined generic ramp-up curve instead of guesswork.</t>
  </si>
  <si>
    <t xml:space="preserve">Add the fourth layer (typically time-of-day or hyperlocal) and extend it to 70-90% of stores.
 Root-cause Stock-Keeping Unit (SKU)-level forecast error monthly.
 Bridge new-store gaps with a comparable-store proxy model.</t>
  </si>
  <si>
    <t xml:space="preserve">Activate and continuously calibrate all 5 layers against actuals.
 Automate recalibration for hourly volatility and SKU-level accuracy.
 Cut the new-store proxy-to-actual transition to 2-4 weeks.</t>
  </si>
  <si>
    <t>Define a second inventory-planning component (e.g., a seasonal buffer) beyond regular+buffer stock.</t>
  </si>
  <si>
    <t>Add a third component (e.g., Stock-Keeping Unit (SKU) assortment) and enforce First-Expired-First-Out (FEFO) for the majority of fresh SKUs to bring stockout/excess incidents into the 5-10% band.</t>
  </si>
  <si>
    <t>Add the fourth component (seasonal and festive buffers both applied) and move batch/expiry visibility to near-real-time to isolate the stockout-vs-waste trade-off.</t>
  </si>
  <si>
    <t>Automate all 5 components with weekly review and real-time, system-enforced batch/expiry visibility to hold incidents under 2% of SKUs monthly.</t>
  </si>
  <si>
    <t xml:space="preserve">Define and document a replenishment formula (Forecast Demand + Safety Stock - Current Inventory).
Set up a basic min-max/reorder-point trigger for top SKUs.
Create an ad hoc emergency top-up process for stockout risk.
Start tracking Days of Inventory (DoI) in aggregate.</t>
  </si>
  <si>
    <t xml:space="preserve">Run the replenishment formula on a fixed once-a-day cycle.
Extend min-max/reorder-point triggers to 30-60% of SKUs.
Formalize the emergency top-up process as a manually-invoked, defined procedure.
Track DoI by category instead of in aggregate.
Start reviewing dock congestion from replenishment receipts.</t>
  </si>
  <si>
    <t xml:space="preserve">Move to a twice-a-day replenishment cycle with a defined wave split (e.g., 70% night / 30% morning).
Extend min-max/reorder-point coverage to 60-90% of SKUs.
Bind the emergency top-up process to a defined SLA.
Track DoI by SKU against a target band.
Reduce dock congestion and storage overflow from receipts to isolated exceptions.</t>
  </si>
  <si>
    <t xml:space="preserve">Deploy an Automatic Replenishment System (ARS) that runs the cycle twice a day, driven by real dark-store demand signals rather than a fixed clock.
Target approximately 70% of replenishment at night, 30% in the morning/afternoon.
Extend min-max/reorder-point triggers to over 90% of SKUs, fully integrated with the automated SLA-bound top-up process.
Move DoI tracking to real time by SKU.
Eliminate dock congestion/storage overflow via slotted receiving.
Root-cause partial-fulfillment incidents monthly.</t>
  </si>
  <si>
    <t>Extend defined manpower planning to a third role and start tracking (even without acting on) attrition.</t>
  </si>
  <si>
    <t xml:space="preserve">Cover a fourth role.
 Introduce a surge-planning trigger and a gig-flex ratio for at least some shifts, even if reactive.</t>
  </si>
  <si>
    <t xml:space="preserve">Cover a fifth role with shift-level granularity.
 Build shift design around the full diurnal demand curve and put an active attrition/gig-supply mitigation plan in place.</t>
  </si>
  <si>
    <t xml:space="preserve">Cover all 6 roles with daily granularity and pre-built capacity buffers.
 Make surge planning and gig-flex proactive on over 90% of shifts, with attrition and gig-supply risk mitigated via a pre-qualified backup pool.</t>
  </si>
  <si>
    <t xml:space="preserve">Establish a planned warehouse-to-dark-store replenishment cycle (at least 1/day) in place of ad hoc dispatch.
Begin applying route/truck-load optimization to at least some dispatch routes.
Start flagging freezer/cold-chain capacity breaches after they occur, as a first step toward tracking them.
Separate pre-live dark-store inward handling from live-store inward, even informally.</t>
  </si>
  <si>
    <t xml:space="preserve">Move to 1-2 cycles/day with a defined wave split (approximately 70/30).
Extend route/truck-load optimization to 30-60% of dispatch routes.
Check freezer/cold-chain capacity before dispatch, at least for temperature-sensitive SKUs.
Formalize a separate (if informal) process for pre-live dark-store inward.</t>
  </si>
  <si>
    <t xml:space="preserve">Increase adherence to the 70/30 (or optimized) wave split to 70-90%.
Extend route/truck-load optimization to 60-90% of dispatch routes, holding Orders Per Hour (OPH) close to target.
Plan freezer/cold-chain capacity ahead of dispatch across all temperature zones, not just sensitive SKUs.
Write a defined, separate Standard Operating Procedure (SOP) for pre-live dark-store inward.</t>
  </si>
  <si>
    <t xml:space="preserve">Push wave-split adherence above 90%, adjusted dynamically to dark-store stock positions in real time.
Extend route/truck-load optimization to over 90% of dispatch routes, holding OPH at or above target.
Move to dynamic freezer/cold-chain capacity planning with zero temperature-zone breaches.
Enforce the pre-live dark-store inward SOP with zero cross-over incidents into live operations.</t>
  </si>
  <si>
    <t xml:space="preserve">Introduce a defined planning day (D-minus) instead of same-day/reactive planning, even if it lands on D-1.
Start tracking fill rate consistently.</t>
  </si>
  <si>
    <t xml:space="preserve">Formally define and enforce the D-1 planning day for FnV/dry categories.
Recognize and document the processing-window bottleneck D-1 planning creates.
Push fill rate to the 80-90% band.</t>
  </si>
  <si>
    <t xml:space="preserve">Begin migrating the planning cycle from D-1 to D-2 for the majority of categories/stores.
Where D-2 is adopted, sequence it so material arrives D-1 and is processed/dispatched the same day (D-1), sale at the dark store on D.
Root-cause planning-variance monthly.
Push fill rate to 90-95%.</t>
  </si>
  <si>
    <t xml:space="preserve">Complete the migration to D-2 planning across 100% of days: plan D-2, arrive D-1, process/dispatch D-1, sell D.
Hold over/under-planning variance under 5%.
Push fill rate above 95%.</t>
  </si>
  <si>
    <t xml:space="preserve">Start measuring On-Time-In-Full (OTIF) in aggregate as a first structured metric.
Begin defining lead time per vendor for at least some vendors.
Note vendor fill rate, QC reject rate, and vendor-attributable Return to Vendor (RTV) rate anecdotally as a precursor to formal tracking.</t>
  </si>
  <si>
    <t xml:space="preserve">Track OTIF and vendor fill rate by vendor, reviewed quarterly.
Start tracking QC reject rate and vendor-attributable RTV rate for at least some vendors/SKUs.
Extend per-vendor lead time definition to the majority of vendors.
Begin defining per-SKU lead time for a subset (up to 30%) of SKUs.</t>
  </si>
  <si>
    <t xml:space="preserve">Track all four metrics (OTIF, vendor fill rate, QC reject rate, RTV rate) by vendor, reviewed monthly, and build a supplier scorecard from them.
Extend per-vendor-per-SKU lead time definition to 60-90% of combinations.
Start adjusting sourcing allocation away from chronic OTIF/quality/RTV underperformers.</t>
  </si>
  <si>
    <t xml:space="preserve">Automate the supplier scorecard to track all four metrics by vendor and SKU in real time, and use it to drive sourcing/allocation and vendor tiering.
Extend per-vendor-per-SKU lead time coverage above 90% and keep it current.
Hold OTIF above a defined benchmark (e.g., 95%+).
Institute quarterly vendor business reviews closing the loop on quality, fill rate, and RTV.</t>
  </si>
  <si>
    <t>Start reconciling Indent against actual inward/dispatch, even just in aggregate, to establish a variance baseline.</t>
  </si>
  <si>
    <t>Reconcile daily for the majority of SKUs/stores to push variance into the 10-20% band.</t>
  </si>
  <si>
    <t>Root-cause the variance monthly to push it into the 5-10% band.</t>
  </si>
  <si>
    <t>Move to real-time reconciliation, reporting indent accuracy as a standing Key Performance Indicator (KPI) alongside forecast accuracy, holding variance under 5%.</t>
  </si>
  <si>
    <t>Start enforcing First-In-First-Out (FIFO) picking/putaway in at least the highest-turnover zones.</t>
  </si>
  <si>
    <t>Extend enforcement to the majority of zones, even without system validation yet.</t>
  </si>
  <si>
    <t>Add system guidance for FIFO at putaway and picking across most zones.</t>
  </si>
  <si>
    <t>Make FIFO system-enforced with automatic exception flagging to sustain compliance above 95%.</t>
  </si>
  <si>
    <t xml:space="preserve">Start running cycle counts, even without a defined frequency.
Begin producing informal cycle-count reports.</t>
  </si>
  <si>
    <t xml:space="preserve">Define a cycle-count frequency per location/SKU and follow it for most locations.
Publish cycle-count reports on a periodic schedule.
Set a target for full SKU coverage over the cycle period, even if not yet verified.</t>
  </si>
  <si>
    <t xml:space="preserve">Move cycle counts to a weekly cadence against the defined frequency and root-cause variance.
Publish cycle-count reports weekly.
Build a coverage-tracking mechanism to confirm most SKUs are counted within the cycle period, closing isolated gaps.</t>
  </si>
  <si>
    <t xml:space="preserve">Move to continuous/perpetual cycle counting with real-time variance alerts.
Adhere to the defined cycle-count frequency for 100% of locations/SKUs.
Publish cycle-count reports in real time/daily.
Verify full SKU coverage over the cycle period, eliminating permanently-uncounted SKUs.</t>
  </si>
  <si>
    <t>Start tracking expiry loss as a distinct value/sales ratio, even without linking it to First-Expired-First-Out (FEFO) yet.</t>
  </si>
  <si>
    <t>Track it monthly and begin linking it conceptually to FEFO compliance.</t>
  </si>
  <si>
    <t>Review it monthly against FEFO compliance to close the loop and push loss into the 0.5-1% band.</t>
  </si>
  <si>
    <t>Track it in real time, directly reconciled against FEFO/First-In-First-Out (FIFO) compliance, to hold loss under 0.5%.</t>
  </si>
  <si>
    <t>Start tracking absenteeism daily, even without linking it to staffing-variance root cause yet, to get it under 10%.</t>
  </si>
  <si>
    <t>Review absenteeism daily as one driver of staffing variance to push it into the 5-7% band.</t>
  </si>
  <si>
    <t>Set a defined threshold and review it alongside attrition to push it into the 3-5% band.</t>
  </si>
  <si>
    <t>Review absenteeism jointly with attrition and gig-supply risk as the standing staffing-variance root-cause set, holding it under 3%.</t>
  </si>
  <si>
    <t>Start tracking Inward against Indent, even just in aggregate, to establish a variance baseline.</t>
  </si>
  <si>
    <t>Reconcile daily for FnV/dry categories to push variance into the 10-15% band.</t>
  </si>
  <si>
    <t>Move to real-time reconciliation as part of the daily planning-cycle Key Performance Indicator (KPI) set, holding variance under 5%.</t>
  </si>
  <si>
    <t>Start tracking Dispatched against plan, even just in aggregate, to establish a variance baseline.</t>
  </si>
  <si>
    <t>Move to real-time reconciliation alongside fill rate as part of the daily planning-cycle Key Performance Indicator (KPI) set, holding variance under 5%.</t>
  </si>
  <si>
    <t>Start estimating dispatch capacity against warehouse area, even informally, as a first validation step.</t>
  </si>
  <si>
    <t xml:space="preserve">Push facility throughput to 75-90% of the Fruits &amp; Vegetables (FnV) benchmark (approximately 3-3.6 units/sq ft).
Estimate dispatch capacity against warehouse area, even if not yet formally validated.</t>
  </si>
  <si>
    <t xml:space="preserve">Push facility throughput to 90-100% of the FnV benchmark (4 units/sq ft).
Formally validate outbound dispatch capacity at approximately 4x warehouse area.</t>
  </si>
  <si>
    <t xml:space="preserve">Sustain throughput consistently at or above the FnV benchmark (4+ units/sq ft).
Engineer and validate dispatch capacity at exactly 4x warehouse area (e.g., a 50,000 sq ft facility supporting 200,000-unit dispatch capacity).
Review the dispatch-capacity validation quarterly.</t>
  </si>
  <si>
    <t xml:space="preserve">Begin benchmarking the layout against Selective Pallet Racking (SPR)/Multi-Tier Shelving (MTS) design standards, even partially.
Bring the storage-area ratio back toward the 50-60% norm from either extreme (over 60-70% or under 40%).</t>
  </si>
  <si>
    <t xml:space="preserve">Bring storage area to 50-60% of total footprint per the design norm.
Bring aisle widths (~10 ft) and beam lengths (~2.4m) into conformance with standard.</t>
  </si>
  <si>
    <t xml:space="preserve">Achieve full conformance to SPR/MTS specifications: aisle width, 100mm overhang, 3-4 ft sprinkler clearance.
Tune storage ratio to 50-55% (or up to 60% for high-inventory/smaller-city sites).
Push density toward 22.5 units/sq ft.</t>
  </si>
  <si>
    <t xml:space="preserve">Fully optimize the layout, including narrow-aisle configurations where applicable.
Hold density at 22.5 units/sq ft with 100% spec conformance.
Precisely tune the storage ratio to the facility's inventory-days requirement.</t>
  </si>
  <si>
    <t xml:space="preserve">Start tracking at least 3 of the core cost components (manpower, material supply, packaging, electricity, depreciation, rent).
Institute an annual cost-component review.
Stop treating Cost per Order as an independent metric disconnected from Cost per Unit.</t>
  </si>
  <si>
    <t xml:space="preserve">Extend tracking to 4-5 core components, per facility rather than blended.
Add at least one other relevant component (e.g., security, maintenance) where material to the facility.
Move the review cadence to quarterly.
Formally define Cost per Order as Cost per Unit x Units per Order, even if still tracked separately in places.</t>
  </si>
  <si>
    <t xml:space="preserve">Track all 6 core components plus other relevant components (security, maintenance, etc.) consistently per facility.
Move the review cadence to monthly and feed it into cost-per-unit optimization actions.
Stop double-tracking Cost per Order - derive it consistently as Cost per Unit x Units per Order.</t>
  </si>
  <si>
    <t xml:space="preserve">Extend full cost-component coverage (core plus all other relevant components) to every facility.
Review monthly or more frequently and document a continuous cost-per-unit reduction trend.
Always derive Cost per Order (never track it separately) and review it alongside Cost per Unit as one unified view.</t>
  </si>
  <si>
    <t>Introduce a basic project charter (scope/objective) for the next project, even without a Gantt chart yet.</t>
  </si>
  <si>
    <t xml:space="preserve">Add a Gantt chart with milestones and a defined budget to the charter.
 Review milestone/timeline adherence monthly.</t>
  </si>
  <si>
    <t xml:space="preserve">Make the charter and Gantt chart mandatory for all projects.
 Review progress and cost weekly against the baseline, root-causing variances.</t>
  </si>
  <si>
    <t xml:space="preserve">Track projects in real time against a defined ownership/Responsible, Accountable, Consulted, Informed (RACI) matrix.
 Close out lessons-learned post-project to sustain over 90% on-time, in-budget delivery.</t>
  </si>
  <si>
    <t>Start normalizing utility cost per sqft against a defined budget/benchmark, even if currently 10-20% over.</t>
  </si>
  <si>
    <t>Track it quarterly to bring it within 10% of budget.</t>
  </si>
  <si>
    <t>Move review to monthly to bring it at or below budget.</t>
  </si>
  <si>
    <t>Track monthly or more frequently, documenting a continuous downward trend below budget.</t>
  </si>
  <si>
    <t xml:space="preserve">Route at least some inbound FnV volume (up to 20%) through a Collection Center (CC), as a pilot.
Begin asking the financial-justification question: does CC cost + middle-mile leg cost stay below the S&amp;G/packing savings it generates?</t>
  </si>
  <si>
    <t xml:space="preserve">Grow CC volume share to 20-50%, reducing first-mile disruption.
Actually calculate the financial-justification test (CC + middle-mile cost vs. warehouse S&amp;G/packing savings and net landing-cost reduction), even if the result is unverified or negative for now.</t>
  </si>
  <si>
    <t xml:space="preserve">Grow CC volume share to 50-80%, with a defined sorting/grading/packing split between CC and warehouse.
Get the financial-justification test to a positive result for the majority of CCs - CC-plus-middle-mile cost below the combined S&amp;G/packing and landing-cost savings.</t>
  </si>
  <si>
    <t xml:space="preserve">Grow CC volume share above 80%.
Ensure every CC passes the financial-justification test, with CC-plus-middle-mile cost verified below the savings it generates.
Continuously optimize the first-mile network to measurably reduce cost-per-unit quarter-on-quarter.</t>
  </si>
  <si>
    <t xml:space="preserve">Push adherence to the 3:00 PM dispatch / 9:00 PM arrival cutoffs to 50-70%.
Start recognizing that a late CC dispatch squeezes the warehouse's own pre-dispatch work, even without redesigning the cutoff yet.</t>
  </si>
  <si>
    <t xml:space="preserve">Push adherence to 70-85%, with material typically arriving by 8-9 PM and packing complete by 11:30 PM.
Explicitly recognize the cutoff-to-buffer link (CC dispatch timing vs. warehouse's own packing/labeling/allocation window), even if not yet formally designed into the schedule.</t>
  </si>
  <si>
    <t xml:space="preserve">Push adherence to 85-95%, with arrival consistently by 7-8 PM, processing complete by 12:00 AM, and FnV dispatch by 1:00 PM.
Formally set the CC cutoff (typically 2:30-3:00 PM for a CC 50-70 km from the warehouse) to leave a defined buffer for warehouse packing/labeling/allocation ahead of its own dispatch wave.</t>
  </si>
  <si>
    <t xml:space="preserve">Push adherence above 95% across the full cutoff chain (2:30-3:00 PM CC dispatch, 7-8 PM arrival, 12 AM processing complete, 1 PM FnV dispatch), tracked daily on an SLA dashboard.
Lock in the buffer-designed cutoff against warehouse processing capacity so zero downstream squeeze incidents occur at the warehouse's outbound wave.</t>
  </si>
  <si>
    <t xml:space="preserve">Define a processing split between CC and warehouse, even loosely, instead of deciding allocation ad hoc daily.
Start tracking packing/stickering activity happening at the CC.
Begin checking handoff weight manually, even without a defined method.</t>
  </si>
  <si>
    <t xml:space="preserve">Formalize the split as a fixed percentage (e.g., 70% CC / 30% warehouse) and follow it on over 70% of days.
Track packing/stickering at the CC for the majority of eligible volume.
Apply manual weight verification to most CC-to-warehouse dispatches.</t>
  </si>
  <si>
    <t xml:space="preserve">Push adherence to the defined split above 90% of days, and start reviewing it monthly against volume, cost-per-unit impact, and supply-assurance/processing-capability at each site.
Make packing/stickering at the CC standard practice, covering over 90% of eligible volume.
Introduce Internet of Things (IoT)-based weight verification for the majority of handoffs.</t>
  </si>
  <si>
    <t xml:space="preserve">Optimize the split and review it quarterly, following it on over 95% of days, with a documented rationale matching the ratio to supply-assurance and processing-capability.
Fully systemize packing/stickering at the CC to cover effectively all eligible volume.
Extend IoT-based weight verification to 100% of handoffs, eliminating unverified transfers.</t>
  </si>
  <si>
    <t>Start tracking unloading productivity in aggregate against the packed (500/hr) and bulk (5 pallets/hr) benchmarks.</t>
  </si>
  <si>
    <t>Hit benchmark for one load type consistently, even if the other still lags.</t>
  </si>
  <si>
    <t>Hit benchmark for both load types, tracked daily.</t>
  </si>
  <si>
    <t>Sustain benchmark for both load types in real time, with variance-driven staffing adjustments.</t>
  </si>
  <si>
    <t xml:space="preserve">Start checking inbound receipts against the manifest for the majority of trips, even manually.
Establish a memory-based putaway location pattern to replace random placement.
Begin logging turnaround time, even inconsistently, as a first step toward split TAT tracking.
Adopt a receiving model (tote-level or unit-wise) and use it, even if inconsistently.
Get receiving accuracy to at least 90%.</t>
  </si>
  <si>
    <t xml:space="preserve">Deploy a digital manifest and verify over 70% of inbound trips against it before putaway begins.
Define rack/shelf locations for the majority of SKUs and enforce adherence.
Split Receipt-to-Goods Receipt Note (GRN) Turnaround Time (TAT) and GRN-to-Putaway TAT into two tracked segments, reviewed weekly.
Formally define the receiving model (tote-level scan-in or unit-wise GRN) and apply it consistently for the majority of SKUs.
Lift receiving accuracy to the 95-98% band.</t>
  </si>
  <si>
    <t xml:space="preserve">Scan receiving against the digital manifest for over 90% of inbound trips, with automatic short-receipt/excess flagging.
Move to system-directed putaway for over 90% of SKUs.
Track both TAT segments daily against defined targets.
Spot-check tote-content integrity wherever tote-level receiving is used.
Make the receiving-model choice deliberate by SKU/vendor category, not default.
Push receiving accuracy to the 98-99.5% band.</t>
  </si>
  <si>
    <t xml:space="preserve">Eliminate manual reconciliation - scan receiving end-to-end with real-time short-receipt/excess escalation.
Extend system-directed putaway to 100% of SKUs with real-time location confirmation.
Track both TAT segments in real time and hold them under a defined benchmark.
Validate tote-content integrity in real time wherever tote-level receiving is used.
Sustain receiving accuracy above 99.5%.</t>
  </si>
  <si>
    <t xml:space="preserve">Set a productivity target for pickers and packers, even if not yet consistently tracked.
Start measuring productivity manually on a periodic basis (e.g., weekly spot-checks).
Begin occasionally estimating pick rate per person, as a first step toward the 13-16 second/unit benchmark.
Lift picking accuracy to the 95-97% band.</t>
  </si>
  <si>
    <t xml:space="preserve">Track picker/packer productivity daily against target for the majority of shifts.
Start tracking Order-Receipt-to-Order-Acceptance time and units-per-order for the majority of orders.
Track pick rate for the majority of shifts, and drive it toward the 13-16 second/unit/person benchmark.
Begin tracking Not-Received (NR) % weekly.
Begin tracking shelf-level material availability weekly.
Lift picking accuracy to the 97-99% band, reviewed weekly.</t>
  </si>
  <si>
    <t xml:space="preserve">Move productivity tracking to real time per picker/packer via the order management system, flagging under-performance same-shift.
Extend Order-Receipt-to-Order-Acceptance and Order-Handover-to-Delivery-Agent time tracking to over 90% of orders.
Get pick rate to the 13-16 second/unit/person benchmark for the majority of shifts.
Root-cause NR% weekly.
Track shelf-level material availability daily with low-availability alerts.
Lift picking accuracy to the 99-99.5% band, root-caused weekly.</t>
  </si>
  <si>
    <t xml:space="preserve">Benchmark productivity across dark stores in real time and feed it into automated staffing/roster adjustment.
Track Order-Receipt-to-Order-Acceptance time, pick rate, units per order, and Order-Handover-to-Delivery-Agent time in real time, end-to-end.
Hold pick rate consistently within the 13-16 second/unit/person benchmark.
Drive NR% to near-zero, root-caused daily.
Track shelf-level material availability in real time.
Sustain picking accuracy above 99.5%, root-caused daily per picker.</t>
  </si>
  <si>
    <t xml:space="preserve">Set an informal fulfillment-time target, even if not systematically tracked.
Get fill rate to the 90-95% band, reviewed monthly.
Start noting Service Level Agreement (SLA) breaches, even if only anecdotally and not yet split by type.
Begin logging shelf-traceability as a manual note, even if inconsistent.
Conduct a Root Cause Analysis (RCA) occasionally after a breach.</t>
  </si>
  <si>
    <t xml:space="preserve">Track fulfillment time for the majority of orders via the order management system against a defined SLA (e.g., under 10-15 minutes).
Lift fill rate to the 95-97% band, reviewed weekly.
Split SLA breach count into delayed-dispatch-from-dark-store and delayed-handover-to-customer for the majority of breaches.
Maintain material traceability to shelf via a manual/physical log for the majority of orders.
Conduct RCA for the majority of breaches, even if Corrective and Preventive Action (CAPA) and closure TAT are not yet consistent.</t>
  </si>
  <si>
    <t xml:space="preserve">Track fulfillment time in real time for over 90% of orders, with automated breach alerts.
Lift fill rate to the 97-99% band, reviewed daily with root-cause on misses.
Track the split delayed-dispatch/delayed-handover breach counts in real time.
Digitize shelf traceability via Quick Response (QR) code scanning for the majority of orders.
Make every breach trigger an RCA followed by a CAPA with a defined closure Turnaround Time (TAT), and close the majority within it.</t>
  </si>
  <si>
    <t xml:space="preserve">Track fulfillment time in real time for 100% of orders, consistently meeting/exceeding the SLA.
Push fill rate above 99%, with predictive staffing adjustments during demand spikes.
Hold both breach-count types near-zero, tracked in real time.
Extend QR-code shelf traceability to 100% of orders.
Close 100% of RCA/CAPA loops within the defined TAT for every breach - no breach goes without one.</t>
  </si>
  <si>
    <t>Mark basic functional zones (fast/slow-moving, ambient/chilled, returns) with signage, even if adherence isn't audited yet.</t>
  </si>
  <si>
    <t xml:space="preserve">Define and map zones in the store layout for the majority of categories, and start auditing zone adherence monthly.
Apply velocity-based (X/Y/Z) placement - fast-movers nearest packing - to some SKUs, driven by pick frequency.
Start sequencing chilled/frozen items and leafy vegetables as late picks for some orders.
Start applying heavy-bottom, fragile/light-top container packing for some orders.</t>
  </si>
  <si>
    <t xml:space="preserve">Extend velocity-based (X/Y/Z) slotting to over 80% of SKUs across all categories, re-slotting quarterly using movement data.
Move zone-adherence audits to weekly, with corrective action on drift.
Make late-pick sequencing of chilled/frozen items and leafy vegetables standard for the majority of orders.
Make heavy-bottom, fragile/light-top container packing a defined sequence followed for the majority of orders.</t>
  </si>
  <si>
    <t xml:space="preserve">Continuously optimize zoning and slotting using real-time movement/velocity data, with automated re-slotting recommendations.
Hold zone adherence above 95% with zero unresolved drift.
Make X/Y/Z velocity zoning fully pick-frequency-driven, with zero arbitrary placement.
Pick chilled/frozen items and leafy vegetables last in sequence for 100% of orders, with zero avoidable exposure/wilting incidents.
Follow heavy-bottom, fragile/light-top container packing on 100% of orders, with zero crush-damage incidents.</t>
  </si>
  <si>
    <t>Start checking shelf availability manually at least once a shift and raising replenishment requests, even if manual.</t>
  </si>
  <si>
    <t xml:space="preserve">Track shelf availability via the inventory system for the majority of SKUs, reviewed twice daily.
Define a reorder-point trigger for the majority of SKUs.
Track stockout duration weekly.</t>
  </si>
  <si>
    <t xml:space="preserve">Track shelf availability in real time for over 90% of SKUs with automated low-stock alerts.
Move replenishment requests to a system-generated min-max model for over 90% of SKUs.
Track and root-cause stockout duration daily.</t>
  </si>
  <si>
    <t xml:space="preserve">Hold real-time shelf availability above 98% for 100% of SKUs with fully automated, demand-responsive replenishment.
Root-cause stockouts same-day and continuously recalibrate reorder points.</t>
  </si>
  <si>
    <t xml:space="preserve">Build a rough capacity estimate (e.g., based on floor area), even if not yet validated against peak volume.
Start logging overflow incidents when noticed.</t>
  </si>
  <si>
    <t xml:space="preserve">Document rated capacity and compare it against actual peak-hour volume at least monthly.
Derive a directional over-/under-capacity flag with magnitude (e.g., % above/below rated capacity) monthly.
Check SKU mix stocked against the store's demand profile for the majority of SKUs.
Track unit count and Days of Holding (DoH) per SKU against a target band for the majority of SKUs.
Log overflow incidents, even if root cause isn't consistently investigated yet.</t>
  </si>
  <si>
    <t xml:space="preserve">Track capacity utilization continuously against rated capacity, benchmarking peak-hour utilization.
Track the over-/under-capacity flag and magnitude continuously, feeding new dark-store sizing/expansion decisions.
Review SKU mix regularly against the demand profile and take corrective stocking-mix action.
Hold unit count and DoH per SKU within target band for the majority of SKUs, balancing stockout against spoilage risk.
Root-cause overflow incidents.</t>
  </si>
  <si>
    <t xml:space="preserve">Track capacity utilization in real time across the dark-store network, predictively flagging stores approaching capacity constraints ahead of peak demand.
Track the over-/under-capacity flag and magnitude in real time, systematically informing sizing decisions for new/expanding stores.
Continuously match SKU mix to each store's demand profile.
Maintain unit count and DoH per SKU within target band for effectively all SKUs.
Eliminate unplanned overflow incidents.</t>
  </si>
  <si>
    <t>Start using the forecast to inform replenishment for high-velocity SKUs, even inconsistently, rather than relying solely on manual judgment.</t>
  </si>
  <si>
    <t>Feed the forecast into a defined replenishment formula (forecast demand plus safety stock minus current inventory) for the majority of SKUs, reviewed periodically for linkage accuracy.</t>
  </si>
  <si>
    <t xml:space="preserve">Extend the forecast-driven formula to over 90% of SKUs.
Track linkage accuracy weekly and hold manual override rate under a defined benchmark.</t>
  </si>
  <si>
    <t xml:space="preserve">Make replenishment quantities forecast-driven for 100% of SKUs with automated recalculation as the forecast updates.
Log manual overrides with reason and track linkage accuracy in real time.</t>
  </si>
  <si>
    <t>Set a nominal replenishment frequency (e.g., once daily) and start tracking fill rate beyond just when a stockout is escalated.</t>
  </si>
  <si>
    <t xml:space="preserve">Define and meet a replenishment frequency for the majority of dark stores/days.
Track fill rate weekly at the dark-store level.</t>
  </si>
  <si>
    <t xml:space="preserve">Tune replenishment frequency by SKU velocity/shelf life for the majority of SKUs.
Track fill rate daily per dark store, holding it above a defined benchmark.</t>
  </si>
  <si>
    <t xml:space="preserve">Dynamically tune replenishment frequency by real-time velocity, shelf-life, and dark-store inventory position.
Track fill rate in real time per dark store per SKU, consistently exceeding 97%+.</t>
  </si>
  <si>
    <t xml:space="preserve">Start tracking stock-out rate whenever a stockout escalates, as a first step beyond pure reactive discovery.
Begin noting excess inventory/wastage at the dark-store level, even informally.</t>
  </si>
  <si>
    <t xml:space="preserve">Track stock-out rate weekly at the dark-store level for the majority of SKUs, against a defined target band.
Track excess-inventory rate weekly at the dark-store level for the majority of SKUs, against a target Days of Inventory (DoI)/Days of Holding (DoH) band.
Log emergency replenishment trips.</t>
  </si>
  <si>
    <t xml:space="preserve">Track stock-out rate daily per dark store per SKU, root-causing over 90% of incidents against forecast error, replenishment frequency, or shelf-life, and quantify lost-sales impact.
Track excess-inventory rate daily per dark store per SKU against the target DoI/DoH band, root-causing over 90% of incidents, and quantify resulting wastage.</t>
  </si>
  <si>
    <t xml:space="preserve">Track both stock-out rate and excess-inventory rate in real time per SKU, holding each within a tight target band and root-causing same-day.
Actively and continuously optimize the trade-off between stock-out risk and excess-driven wastage across the dark-store network.</t>
  </si>
  <si>
    <t xml:space="preserve">Document a fleet count against average dispatch volume, even informally.
Arrange a backup-fleet vendor before the next shortfall, not after.</t>
  </si>
  <si>
    <t xml:space="preserve">Formalize fleet documentation against average daily dispatch volume, reviewed monthly.
Hold spot-hire/backup usage under 10% of trips with a pre-engaged backup vendor.</t>
  </si>
  <si>
    <t xml:space="preserve">Extend fleet review to peak (not just average) dispatch volume, with dedicated and backup fleet contracted in advance.
Track and root-cause spot-hire usage monthly, holding it under 5%.</t>
  </si>
  <si>
    <t xml:space="preserve">Dynamically adjust fleet planning to forecast volume including seasonal/event peaks, with a pre-qualified backup pool on standby.
Hold placement-failure/spot-hire trips under 1%, root-caused within the week.</t>
  </si>
  <si>
    <t>Start estimating vehicle utilization occasionally (visual check), even if not yet systematically logged.</t>
  </si>
  <si>
    <t xml:space="preserve">Track utilization for the majority of trips via crate count or manifest weight against a target, reviewed weekly.
Track crate-loaded utilization (crates loaded / rated crate capacity) alongside cube/weight utilization for the majority of trips.
Track partial-load trip % monthly.</t>
  </si>
  <si>
    <t xml:space="preserve">Track utilization per trip in real time for over 90% of dispatches.
Apply route/load consolidation to reduce partial loads.
Track crate-loaded utilization per trip alongside cube/weight utilization, and get both consistently to or above benchmark.</t>
  </si>
  <si>
    <t xml:space="preserve">Optimize utilization dynamically (load-building/route consolidation software) across the network in real time.
Hold both crate-loaded and cube/weight utilization consistently above benchmark, tracked per trip.
Document and hold empty-running to a minimum.</t>
  </si>
  <si>
    <t>Start consolidating on-time performance and breakdown/cancellation data into a single report, even monthly.</t>
  </si>
  <si>
    <t xml:space="preserve">Track OTD/OTA for the majority of trips against a defined window, reviewed weekly.
Track breakdown/cancellation rate monthly.</t>
  </si>
  <si>
    <t xml:space="preserve">Move OTD/OTA tracking to real time (GPS-based) for over 90% of trips with automated delay alerts.
Hold breakdown/cancellation rate under a defined benchmark, root-caused monthly.</t>
  </si>
  <si>
    <t xml:space="preserve">Track OTD/OTA in real time for 100% of trips, consistently exceeding 95%.
Root-cause breakdowns/cancellations within 24 hours and feed preventive fleet-maintenance planning.</t>
  </si>
  <si>
    <t xml:space="preserve">Start calculating cost per trip periodically (monthly), even if not yet benchmarked or trended.
Begin estimating the dry/reefer cost split.</t>
  </si>
  <si>
    <t xml:space="preserve">Track cost per trip, per km, and per unit dispatched monthly, separately for dry and reefer fleet, against a budget.
Put a basic Warehouse-to-Dark-Store route plan in place covering the majority of routes.</t>
  </si>
  <si>
    <t xml:space="preserve">Move cost tracking to weekly, root-causing variance-to-budget.
Track cost per dark store to identify high-cost routes/stores.
Review the Warehouse-to-Dark-Store network plan periodically and use it to explain cost variance by route.</t>
  </si>
  <si>
    <t xml:space="preserve">Move cost tracking to real time/daily, benchmarked across routes and dark stores, with a documented downward trend.
Build cost efficiency on a defined, documented Warehouse-to-Dark-Store network plan that optimizes routes for both cost and time - not cost improvement by chance.
Use the plan to directly drive route/network redesign decisions.</t>
  </si>
  <si>
    <t xml:space="preserve">Start spot-checking temperature manually at departure and/or arrival.
Begin practicing pre-cooling before loading, even inconsistently.</t>
  </si>
  <si>
    <t xml:space="preserve">Log temperature (manually or via a basic logger) for the majority of reefer trips, reviewed daily.
Make pre-cooling before loading standard practice for the majority of trips.
Digitize temperature logging for the majority of trips, even if reviewed only after the trip.</t>
  </si>
  <si>
    <t xml:space="preserve">Move to continuous sensor-based temperature logging for over 90% of reefer trips, with daily breach review.
Track pre-cooling compliance and hold it above a defined benchmark.
Start transmitting digital temperature logs to the Control Tower team for the majority of trips.</t>
  </si>
  <si>
    <t xml:space="preserve">Extend continuous sensor-based logging to 100% of reefer trips, with real-time breach alerts and automated escalation.
Push pre-cooling compliance above 98%, and track/trend reefer downtime and fuel performance.
Transmit digital temperature logs live to the Control Tower team for 100% of trips, enabling real-time in-transit intervention.</t>
  </si>
  <si>
    <t>Formalize a basic wave structure (e.g., morning and night), even if the split isn't yet measured against a plan.</t>
  </si>
  <si>
    <t xml:space="preserve">Document a defined wave architecture (number of waves, planned volume split, cutoff times) and follow it on the majority of days, reviewed monthly.
Start aligning wave timing to dark-store demand signals as the intent, even if warehouse bottlenecks still often override it.</t>
  </si>
  <si>
    <t xml:space="preserve">Track wave architecture daily against plan (actual vs. planned split, cutoff adherence), root-causing variance weekly.
Stand up a dedicated reefer/cold-chain wave where applicable.
Make dark-store demand signals the primary driver of wave timing, with warehouse readiness only a secondary, tracked-exception gate.</t>
  </si>
  <si>
    <t xml:space="preserve">Dynamically review wave architecture against demand patterns and dark-store inventory positions, adjusting on a defined cadence.
Hold cutoff adherence above 95%, tracked in real time.
Make wave timing fully demand-driven, with warehouse bottlenecks influencing timing only as an exception input, never the primary driver.</t>
  </si>
  <si>
    <t>Start checking wave readiness informally with a supervisor shortly before cutoff, even if late-departure causes aren't logged yet.</t>
  </si>
  <si>
    <t xml:space="preserve">Introduce a defined readiness checklist (processing/picking/staging/dock/manpower) checked before each wave for the majority of waves, logging late-departure cause.
Link vehicle placement to confirmed processing, packing, and allocation status for the majority of waves, rather than a fixed clock.</t>
  </si>
  <si>
    <t xml:space="preserve">Track readiness systematically for over 90% of waves with a live pre-cutoff dashboard, reviewing and closing late-departure root causes weekly.
Place a vehicle for a wave only once material is confirmed processed, packed, and allocated, for over 90% of waves - not on a fixed clock.</t>
  </si>
  <si>
    <t xml:space="preserve">Track readiness in real time with predictive flagging of at-risk waves well before cutoff, enabling pre-emptive corrective action.
Push on-time wave departure above 98%.
Gate vehicle placement 100% of the time on confirmed processed-packed-allocated material status, eliminating clock-driven placements ahead of readiness.</t>
  </si>
  <si>
    <t>Start noticing stock-out and overstock misalignment reactively via complaints, as a first step toward systematic measurement.</t>
  </si>
  <si>
    <t xml:space="preserve">Check wave volume/SKU mix against dark-store inventory position for the majority of waves before dispatch, logging misalignment incidents monthly.
Log stock-out incidence between waves, and overstock/excess-inventory incidence right after a wave lands, for the majority of dark stores.</t>
  </si>
  <si>
    <t xml:space="preserve">Incorporate dark-store inventory position, SKU velocity, and shelf-life systematically into wave planning for over 90% of waves.
Track and root-cause emergency/off-cycle trips.
Track and root-cause both pre-next-wave stock-out incidence and post-wave overstock/excess incidence for over 90% of dark stores.</t>
  </si>
  <si>
    <t xml:space="preserve">Drive wave planning dynamically off real-time dark-store inventory and demand signals, minimizing both under- and over-replenishment.
Keep emergency trips rare and root-caused, continuously tuning the wave-to-demand model.
Hold both stock-outs between waves and post-wave excess inventory near-zero across the network, tracked in real time.</t>
  </si>
  <si>
    <t xml:space="preserve">Start capturing inbound data points (TAT, arrivals, QC status, rejections) in a system, even a basic one.
Get consolidated coverage above zero on the 8 defined inbound data points.
Record deviations when escalated, as a first step.</t>
  </si>
  <si>
    <t xml:space="preserve">Build a consolidated inbound dashboard covering 40-75% of the 8 data points.
Set targets for TAT, scheduled-vs-actual arrival, and scheduled-vs-actual delivery, and track actuals against them.
Refresh QC processing status and rejection tracking at least hourly.
Review deviations once every shift.</t>
  </si>
  <si>
    <t xml:space="preserve">Extend dashboard coverage beyond 75% of the 8 data points.
Add on-hold time and cost tracking against target, alongside TAT/arrival/delivery/QC/rejection.
Put vendor scorecards to use in day-to-day dock/vendor decisions.
Automate deviation flagging and escalate to management within the same shift.</t>
  </si>
  <si>
    <t xml:space="preserve">Close the gap to 100% coverage of all 8 inbound data points.
Move the dashboard to real-time refresh.
Automate deviation escalation to management in real time, not just same-shift.
Eliminate any remaining manual or off-system tracking of these data points.</t>
  </si>
  <si>
    <t xml:space="preserve">Start compiling S&amp;G and packing progress vs. plan manually each shift.
Begin tracking processing cost, even if only monthly.
Record productivity numbers at end of shift as a baseline.</t>
  </si>
  <si>
    <t xml:space="preserve">Set checkpoint reviews of S&amp;G and packing progress every 2 hours.
Have the shift supervisor review shortfalls against plan.
Track processing cost at the shift level.
Make productivity numbers available with a short lag, not just at shift-end.</t>
  </si>
  <si>
    <t xml:space="preserve">Move S&amp;G and packing progress tracking to near-real-time for over 90% of volume.
Auto-flag shortfalls as a dispatch-risk signal, not just a supervisor review.
Track and review processing cost daily.
Surface live productivity numbers per stage during the shift.</t>
  </si>
  <si>
    <t xml:space="preserve">Extend real-time progress tracking to 100% of processing volume.
Auto-trigger a dispatch-risk alert the moment a shortfall occurs, same shift.
Track processing cost in real time against target.
Make live productivity numbers visible per stage continuously, not just at checkpoints.</t>
  </si>
  <si>
    <t xml:space="preserve">Make inventory position vs. lead time and DoH/DoI available in a system, even via manual pull.
Start a periodic (e.g., weekly) check for expiry, near-expiry, ageing, and FEFO/FIFO status.
Begin comparing warehouse and dark-store inventory views side by side, even if not merged.</t>
  </si>
  <si>
    <t xml:space="preserve">Build one consolidated view of inventory position vs. lead time, DoH/DoI, ageing, and FEFO/FIFO status, reviewed daily.
Generate expiry and near-expiry flags automatically, even if still manually checked.
Start merging warehouse and dark-store inventory into a shared, though not yet single, picture.</t>
  </si>
  <si>
    <t xml:space="preserve">Push inventory position, DoH/DoI, ageing, and FEFO/FIFO tracking to near-real-time for over 90% of SKUs.
Route expiry and near-expiry flags to the responsible team automatically.
Integrate warehouse and dark-store inventory into one combined view for the majority of SKUs.</t>
  </si>
  <si>
    <t xml:space="preserve">Extend real-time inventory visibility to 100% of SKUs and locations.
Guarantee zero missed automatic expiry/near-expiry intimations.
Fully integrate warehouse and dark-store inventory, both directions, into one combined picture.
Close all unreconciled gaps between the two views.</t>
  </si>
  <si>
    <t xml:space="preserve">Start checking on-time-dispatch status manually as cutoff approaches.
Begin recording missed/delayed/short-shipment incidents after the fact.
Keep dispatch data at an aggregate level as a starting baseline.</t>
  </si>
  <si>
    <t xml:space="preserve">Track on-time-dispatch, crate utilization, and vehicle utilization daily.
Track cost per unit and cost per kilometre at an aggregate level.
Break out dispatch data by dark store and by warehouse for the majority of sites.</t>
  </si>
  <si>
    <t xml:space="preserve">Move on-time-dispatch, crate utilization, and vehicle utilization to near-real-time for over 90% of dispatches.
Break out cost per unit and cost per kilometre by dark store and by warehouse.
Flag at-risk dispatches before cutoff, not after.</t>
  </si>
  <si>
    <t xml:space="preserve">Extend real-time dispatch tracking to 100% of dispatches.
Refresh cost per unit and cost per kilometre by dark store and by warehouse continuously.
Add predictive at-risk flagging well ahead of cutoff.
Root-cause every missed/delayed/short-shipment incident the same day.</t>
  </si>
  <si>
    <t xml:space="preserve">Log vehicle departure in a system.
Start logging temperature separately during transit.
Record breakdowns and delays as they're discovered on arrival.</t>
  </si>
  <si>
    <t xml:space="preserve">Enable GPS/ETA tracking for the majority of trips, checked periodically.
Keep a temperature log during transit, even if reviewed separately.
Track cost per unit and cost per kilometre at an aggregate level.</t>
  </si>
  <si>
    <t xml:space="preserve">Combine vehicle location, ETA, and temperature into one near-real-time view for over 90% of trips.
Automate breakdown and delay alerts.
Break out cost per unit and cost per kilometre by dark store and by warehouse.</t>
  </si>
  <si>
    <t xml:space="preserve">Extend the combined real-time location/ETA/temperature view to 100% of trips.
Auto-escalate breakdowns and delays to both operations and the receiving dark store.
Refresh cost per unit and cost per kilometre by dark store and by warehouse continuously.</t>
  </si>
  <si>
    <t xml:space="preserve">Start sharing receiving, GRN, and putaway status from dark stores periodically (e.g., daily report).
Check available inventory against the planogram during periodic audits.
Log pick, dispatch, and handover delays after they happen.
Define a pick path informally, even without tracking adherence.</t>
  </si>
  <si>
    <t xml:space="preserve">Build a consolidated dark-store view (receiving, GRN, putaway, inventory-vs-planogram) reviewed daily for most stores.
Flag expired and near-expiry inventory during daily checks.
Track and review pick, dispatch, and handover delays daily.
Formalize the defined pick path and begin spot-checking adherence.</t>
  </si>
  <si>
    <t xml:space="preserve">Move receiving, GRN, putaway, inventory-vs-planogram, and expiry status to near-real-time for over 90% of dark stores.
Flag pick, dispatch, and handover delays as they occur, not after.
Route exceptions through a defined flow.
Track pick-path adherence for the majority of pickers.</t>
  </si>
  <si>
    <t xml:space="preserve">Extend real-time dark-store visibility to 100% of dark stores.
Auto-flag pick, dispatch, and handover delays the moment they occur.
Fully systemize exception flows with defined ownership.
Track pick-path adherence in real time for every picker.</t>
  </si>
  <si>
    <t xml:space="preserve">Stand up function-level dashboards (e.g., inbound, dispatch), even if not integrated.
Assign informal ownership for exceptions in each function.
Set a refresh cadence, even if only daily.</t>
  </si>
  <si>
    <t xml:space="preserve">Integrate function-level dashboards into one cross-functional control-tower view.
Refresh the view at least a few times a day.
Assign defined ownership for each exception type.
Track root cause manually (e.g., a shared spreadsheet), consistently.</t>
  </si>
  <si>
    <t xml:space="preserve">Move the control tower to near-real-time refresh.
Auto-flag exceptions against defined thresholds.
Route each exception to a named owner with a Service Level Agreement (SLA).
Track closure and review trends weekly.</t>
  </si>
  <si>
    <t xml:space="preserve">Extend the control tower to real-time, end-to-end, vendor through dark-store shelf availability.
Automate exception alerts with defined escalation paths.
Close the loop on every action with tracked resolution.
Add predictive flagging (e.g., dock congestion, stock-out risk) ahead of occurrence.
Use it to demonstrably change operating decisions.</t>
  </si>
  <si>
    <t xml:space="preserve">Start tracking crate returns from dark stores manually.
Build a basic pendency count of crates overdue for return.
Review pendency only when a shortage actually occurs, as a starting point.</t>
  </si>
  <si>
    <t xml:space="preserve">Add ageing to the pendency count, tracked and reviewed weekly.
Flag crates retained at dark stores for storage use during periodic checks.
Review warehouse crate-shortage risk on a regular, not just reactive, basis.</t>
  </si>
  <si>
    <t xml:space="preserve">Move pendency count and ageing tracking to near-real-time for over 90% of dark stores.
Auto-flag crates overdue beyond a defined number of days, on a regular basis.
Flag warehouse crate-shortage risk proactively, before it hits dispatch.</t>
  </si>
  <si>
    <t xml:space="preserve">Extend real-time pendency and ageing tracking to 100% of dark stores.
Auto-flag overdue crates the instant they cross the defined threshold.
Eliminate undetected crate retention at dark stores.
Eliminate warehouse dispatch shortages traced to untracked crate returns.</t>
  </si>
  <si>
    <t xml:space="preserve">Keep SO and PO details in the source system as a first step.
Start checking inventory status against the order, even as a separate step.
Track order fulfillment status at closure, as a baseline.</t>
  </si>
  <si>
    <t xml:space="preserve">Build a consolidated dashboard showing SO and PO details, inventory status, and fulfillment status for the majority of orders.
Make the SO journey (receipt to closure) visible, even if refreshed only periodically.
Track PO status centrally, even if reviewed manually.</t>
  </si>
  <si>
    <t xml:space="preserve">Move the consolidated dashboard to near-real-time for over 90% of orders.
Track the full SO journey from receipt to closure on one dashboard.
Track PO status and management centrally with exceptions flagged automatically.</t>
  </si>
  <si>
    <t xml:space="preserve">Extend the single dashboard to real-time coverage of 100% of orders.
Eliminate any order data still scattered across separate systems.
Auto-flag exceptions in both the SO and PO journeys.</t>
  </si>
  <si>
    <t xml:space="preserve">Digitize the core inbound and outbound steps (e.g., GRN, dispatch) in the WMS first.
Bring sorting, grading, putaway, and staging into the system next, even partially.
Start logging transactions closer to the time of the physical event.</t>
  </si>
  <si>
    <t xml:space="preserve">Push digital capture to cover the majority of inbound and outbound steps (55-75%).
Enforce transaction discipline (logging at time of event) for most steps.
Extend process traceability to cover most, though not yet all, of the 12 WMS capability modules.</t>
  </si>
  <si>
    <t xml:space="preserve">Raise digital capture to 75-90% of process steps.
Define and document exception workflows for the remaining manual steps.
Flag late entries so transaction discipline is enforced, not just assumed.
Extend traceability to nearly all 12 WMS capability modules.
Confirm digitized steps are not slower than the paper process they replaced.</t>
  </si>
  <si>
    <t xml:space="preserve">Push digital capture above 90% of steps, vendor ASN through dark-store receipt.
Eliminate undocumented manual workarounds entirely.
Make the digital record the single source of truth for every stage.
Close out transaction discipline and process traceability across all 12 WMS capability modules.
Confirm every digitized step is faster than or equal to its paper predecessor, never slower.</t>
  </si>
  <si>
    <t xml:space="preserve">Introduce barcode/RF scanning at 1-2 core stages (e.g., GRN, dispatch).
Accept manual entry elsewhere for now, but start noting where it happens.</t>
  </si>
  <si>
    <t xml:space="preserve">Extend scanning to the majority of stages requiring a unique identifier match.
Track scan compliance monthly.
Review missing/duplicate scan incidents periodically.</t>
  </si>
  <si>
    <t xml:space="preserve">Push scan compliance above 90% across the majority of stages.
Track compliance weekly instead of monthly.
Flag missing/duplicate scans as exceptions and root-cause them.</t>
  </si>
  <si>
    <t xml:space="preserve">Push scan compliance above 98% end-to-end.
Track compliance in real time.
Redesign the process to eliminate non-value-added, redundant re-confirmation scans.</t>
  </si>
  <si>
    <t xml:space="preserve">Move off pure manual batch uploads to at least a periodic batch cycle.
Start checking inventory, location, and batch accuracy during periodic audits.
Note where informal manual trackers are still needed as a workaround.</t>
  </si>
  <si>
    <t xml:space="preserve">Bring update latency down to a near-real-time window (e.g., 15-30 minutes) for the majority of transaction types.
Track inventory accuracy, location accuracy, and batch accuracy as three distinct, named metrics.
Review accuracy periodically as a formal system-performance KPI.</t>
  </si>
  <si>
    <t xml:space="preserve">Bring update latency under 5 minutes for over 90% of transaction types.
Push inventory, location, and batch accuracy each above a defined benchmark (e.g., 98%+).
Log and review downtime/latency incidents.</t>
  </si>
  <si>
    <t xml:space="preserve">Move to real-time (seconds) updates across all transaction types.
Push inventory, location, and batch accuracy each above 99%+, tracked continuously.
Hold uptime above 99.5%+ with a documented downtime/incident response process.</t>
  </si>
  <si>
    <t xml:space="preserve">Connect at least one or two core systems (e.g., WMS to ERP for stock value) via a scheduled file transfer.
Reconcile the data manually for now, but formalize the process.</t>
  </si>
  <si>
    <t xml:space="preserve">Connect the majority of core systems (ERP/OMS/TMS/Control Tower/Finance) on a set schedule (e.g., hourly).
Reduce manual reconciliation, but keep tracking mismatches.</t>
  </si>
  <si>
    <t xml:space="preserve">Move most core-system connections to automatic, near-real-time data exchange.
Cut manual re-entry to a minimum.
Auto-flag and auto-reconcile mismatches.</t>
  </si>
  <si>
    <t xml:space="preserve">Connect all five core systems automatically in real time.
Eliminate manual re-typing or re-uploading between systems entirely.
Keep mismatches rare, auto-flagged, and closed the same day.</t>
  </si>
  <si>
    <t xml:space="preserve">Start logging overrides in a register, even a separate manual one.
Introduce basic access restrictions for the most sensitive transactions.
Move the approval flow away from a single fixed rule toward something org-specific, even informally.</t>
  </si>
  <si>
    <t xml:space="preserve">Require supervisor approval for the majority of override transaction types.
Capture a system-logged reason for the majority of overrides.
Tie the majority of transactions to a named user.
Define role-based access control for key roles.
Map the approval flow to the organization's hierarchy for most transaction types.</t>
  </si>
  <si>
    <t xml:space="preserve">Make approval workflows system-enforced for over 90% of transaction types.
Tie over 90% of transactions to a named user and timestamp.
Enforce role-based access control across the majority of the system.
Fully map the approval flow to the organization's structure and process.
Track override rate weekly and root-cause spikes.</t>
  </si>
  <si>
    <t xml:space="preserve">Make overrides exception-only, system-enforced, and fully logged with reason codes.
Tie 100% of transactions to a named user and timestamp.
Enforce role-based access end-to-end, access strictly matching role.
Structure the approval flow entirely around the organization's hierarchy and process, as a standing control.
Hold override rate under a defined benchmark with a complete, tamper-evident audit trail.</t>
  </si>
  <si>
    <t xml:space="preserve">Start keeping inbound (PO-GRN-Batch-Location) and outbound (Order-Pick-Pack-Shipment) traceability records, even manually and separately.
Track FnV transformation genealogy (raw to processed to packed) for at least a few SKUs.
Map containerization (SKU-crate-pallet/tote) and returns traceability for a few SKUs as a pilot.</t>
  </si>
  <si>
    <t xml:space="preserve">Bring inbound and outbound traceability into the system for the majority of transactions.
Make end-to-end genealogy reconstructable for the majority of batches, even with some manual linking.
Extend FnV transformation genealogy to the majority of processed SKUs.
Extend containerization mapping and returns traceability to the majority of movements.
Get recall trace time down to a defined window (e.g., same day), even with manual effort.</t>
  </si>
  <si>
    <t xml:space="preserve">System-link inbound and outbound traceability for over 90% of transactions.
Make end-to-end genealogy automatically reconstructable for over 90% of batches.
Extend FnV transformation genealogy to over 90% of processed SKUs.
Extend containerization mapping and returns traceability to over 90% of movements.
Get recall trace time down to a few hours, largely system-driven.</t>
  </si>
  <si>
    <t xml:space="preserve">Fully system-link inbound and outbound traceability for 100% of transactions.
Make end-to-end genealogy reconstructable in minutes for any batch.
Extend FnV transformation genealogy to 100% of processed SKUs.
Complete containerization mapping for 100% of movements.
Complete returns traceability for 100% of returns.
Get recall trace time under a defined target (e.g., under 1 hour), fully recall-ready.</t>
  </si>
  <si>
    <t xml:space="preserve">Put a cycle-count schedule on a spreadsheet, even if informal.
Make FEFO/FIFO advisory in the system as a first step, accepting it will be overridden often.
Formalize adjustment-approval on paper, even if not consistently followed yet.</t>
  </si>
  <si>
    <t xml:space="preserve">Automate the cycle-count schedule for the majority of SKUs/locations.
Make counts-completed-vs-missed status visible, reviewed periodically.
Have the system recommend, not yet enforce, FEFO/FIFO for the majority of picks.
Segregate Good/Hold/Damaged/Expired stock in the system for the majority of SKUs.
Require adjustment approval for the majority of transaction types.</t>
  </si>
  <si>
    <t xml:space="preserve">Extend the automated cycle-count schedule to over 90% of SKUs/locations.
Make counts-completed-vs-missed status real-time, with misses flagged same day.
System-enforce FEFO/FIFO, not just recommend it, for over 90% of picks.
Make status segregation genuine, not just labels, for over 90% of SKUs, blocking mis-picks.
Structurally prevent unauthorized adjustments for over 90% of transaction types.</t>
  </si>
  <si>
    <t xml:space="preserve">Extend the automated, real-time cycle-count schedule to 100% of SKUs/locations, with zero unexplained misses.
Fully enforce FEFO/FIFO across all picks; require a logged reason for any override.
Make cross-status mis-picks structurally impossible through full segregation.
Structurally prevent unauthorized adjustments end-to-end; require approval and a reason code for every adjustment.</t>
  </si>
  <si>
    <t xml:space="preserve">Write down an informal fallback process for WMS/network/scanner downtime, even just verbal instructions turned into a note.
Reconcile the paper workaround after each downtime event, even if inconsistently.
Start retaining documentation for at least some transactions.
Compile KPI reports manually, even if infrequent.</t>
  </si>
  <si>
    <t xml:space="preserve">Document a fallback process for WMS/network/scanner downtime, with a defined reconciliation step.
Retain documentation (digital records, attachments) for the majority of transactions.
Set a defined KPI-reporting cadence (e.g., weekly).</t>
  </si>
  <si>
    <t xml:space="preserve">Train staff on the documented fallback process and test it.
Complete reconciliation within a defined window after downtime ends.
Retain documentation for over 90% of transactions.
Move KPI reporting to a near-real-time dashboard.</t>
  </si>
  <si>
    <t xml:space="preserve">Regularly re-test the fallback process; ensure zero data loss on reconciliation after any downtime event.
Retain documentation for 100% of transactions, fully retrievable.
Make KPI reporting real-time and self-serve, covering all operational KPIs without manual compilation.</t>
  </si>
  <si>
    <t xml:space="preserve">Move from no documented equipment basis to informal judgment-based counts, as a first step.
Start tracking operator wait-for-equipment incidents, even informally.</t>
  </si>
  <si>
    <t xml:space="preserve">Document MHE count against average daily requirement and review it periodically.
Begin benchmarking against an industry-standard MHE-to-volume ratio, even informally.
Check charging-station count against fleet size periodically, and log wait-for-charger incidents when they occur.
Set up a dedicated MHE storage/parking space, even if not consistently maintained.
Track emergency rental usage monthly.</t>
  </si>
  <si>
    <t xml:space="preserve">Review equipment count against peak-hour requirement, not just average, and formally benchmark it against a defined industry standard for MHE-to-volume ratios.
Review charging-station adequacy regularly and track wait-for-charger incidents weekly.
Define and maintain the dedicated MHE storage/parking space.
Pre-arrange backup/rental equipment and track operator-wait incidents weekly, root-causing them.</t>
  </si>
  <si>
    <t xml:space="preserve">Move to continuous review of equipment adequacy against both average and peak demand, with a documented fleet plan benchmarked against the defined industry standard.
Size charging-station count to fleet size to eliminate recurring wait-for-charger incidents.
Fully maintain and enforce the dedicated MHE storage/parking space.
Reduce operator-wait incidents to rare, root-caused-within-the-week events, and treat emergency rental as a planned contingency, not a recurring necessity.</t>
  </si>
  <si>
    <t xml:space="preserve">Start logging equipment breakdowns in a register, even without calculating Mean Time Between Failures (MTBF)/Mean Time To Repair (MTTR).
Put a Preventive Maintenance (PM) schedule on paper, even if not yet consistently followed.</t>
  </si>
  <si>
    <t xml:space="preserve">Track utilization and breakdown frequency monthly.
Get the PM schedule followed for the majority of equipment, and start measuring PM adherence against a defined industry-standard cadence.
Introduce a basic battery-charging rotation, even if not yet optimized.</t>
  </si>
  <si>
    <t xml:space="preserve">Move utilization, MTBF, and MTTR tracking to a weekly, per-equipment-unit cadence.
Hold PM compliance above a defined benchmark, aligned to the industry-standard cadence.
Plan battery management (charge scheduling, swap availability) to avoid mid-shift downtime, and track battery performance against the PM schedule.</t>
  </si>
  <si>
    <t xml:space="preserve">Move to real-time (telematics-enabled where applicable) utilization, MTBF, and MTTR tracking per unit, driving a predictive maintenance program benchmarked against the industry-standard PM cadence.
Hold PM adherence at or above benchmark with zero missed cycles.
Fully schedule battery management to eliminate mid-shift charging-related downtime, and track/trend battery performance continuously.</t>
  </si>
  <si>
    <t>Have supervisors document the movement inefficiencies they already notice, and mark one-way flow/pedestrian lanes in the most congested areas.</t>
  </si>
  <si>
    <t xml:space="preserve">Build a basic flow map identifying major backtracking/cross-movement points, reviewed periodically.
Implement pedestrian/MHE segregation in the highest-risk areas.</t>
  </si>
  <si>
    <t xml:space="preserve">Sample travel distance and double-handling incidence periodically (e.g., quarterly time-motion study) and use it to adjust slotting or flow.
Track congestion-point reduction year-on-year.</t>
  </si>
  <si>
    <t xml:space="preserve">Track travel distance and double-handling continuously via WMS travel-path data, driving ongoing slotting and flow optimization.
Eliminate or fully control pedestrian/MHE conflict points.</t>
  </si>
  <si>
    <t>Define which SKUs require 0-4C storage and start using the chiller consistently for them, even without formal mapping yet.</t>
  </si>
  <si>
    <t xml:space="preserve">Log temperature (manual or basic logger) for the majority of chiller zones, reviewed daily.
Define and follow product segregation and a basic dwell-time expectation for the majority of SKUs.</t>
  </si>
  <si>
    <t xml:space="preserve">Move to continuous sensor-based logging for over 90% of chiller zones with daily excursion review.
Monitor dwell time and door-opening frequency against defined limits.</t>
  </si>
  <si>
    <t xml:space="preserve">Log continuously via sensors across 100% of chiller zones with real-time excursion alerts and automated escalation.
Verify and test backup refrigeration on a defined schedule.</t>
  </si>
  <si>
    <t xml:space="preserve">Set an explicit intent to hold leafy produce within the 15-20C band during storage/processing, even if not yet consistently enforced.
Start noting, informally, when leafy handling norms (stacking, transfer time, ethylene co-location) are being followed.</t>
  </si>
  <si>
    <t xml:space="preserve">Track time-outside-controlled-temperature for the majority of leafy batches against an informal target.
Maintain the 15-20C band for most storage/processing steps.
Define handling norms (stacking limits, transfer-time limits, ethylene segregation), even if followed inconsistently.
Log damage attributable to heat exposure when identified.</t>
  </si>
  <si>
    <t xml:space="preserve">Extend time-outside-controlled-temperature tracking to over 90% of batches, against a defined target, reviewing and root-causing damage weekly.
Maintain the 15-20C band continuously through storage/processing for the majority of batches.
Enforce handling norms (no crushing stacks, minimal ambient exposure in transfers, ethylene segregation) for the majority of batches.</t>
  </si>
  <si>
    <t xml:space="preserve">Move time-outside-controlled-temperature tracking to real time for 100% of batches, held within a benchmark-tight window from receiving through dispatch.
Maintain the 15-20C band continuously with zero unmanaged lapses.
Fully enforce handling norms: no crushing stacks, no prolonged ambient exposure, no ethylene co-location.
Hold damage/shelf-life impact at or below a defined minimum, continuously monitored.</t>
  </si>
  <si>
    <t xml:space="preserve">Establish a distinct handling intent for hydroponic produce, separate from standard field-grown leafy, even if not yet formalized.
Start isolating damage attributable to hydroponics-specific mishandling in quality data, rather than lumping it with standard leafy.</t>
  </si>
  <si>
    <t xml:space="preserve">Define a formal handling/temperature protocol specific to hydroponic produce and follow it for the majority of batches.
Maintain the 15-20C band for most storage/processing steps.
Set tighter stacking and transfer-time limits than standard leafy, given hydroponic produce's higher moisture/fragility.
Track damage/rejection from temperature or handling separately, reviewed periodically.</t>
  </si>
  <si>
    <t xml:space="preserve">Extend the hydroponics-specific protocol to over 90% of batches, covering staging and dispatch handling too.
Maintain the 15-20C band continuously for the majority of batches, with stricter stacking/transfer-time discipline than standard leafy.
Eliminate co-location with ethylene-releasing produce for the majority of batches.
Track damage/rejection from hydroponics handling weekly, holding it under a defined benchmark.</t>
  </si>
  <si>
    <t xml:space="preserve">Extend the protocol to 100% of batches end-to-end, from receiving through dispatch staging.
Maintain the 15-20C band continuously with zero unmanaged lapses.
Eliminate crushing stacks, prolonged ambient exposure, and ethylene co-location entirely.
Hold damage/rejection from temperature or handling at or near zero, continuously monitored.</t>
  </si>
  <si>
    <t>Add a temperature check at one more intermediate stage (e.g., processing or staging) beyond the current 1-2 checkpoints.</t>
  </si>
  <si>
    <t>Check temperature at the majority of chain stages for the majority of cold-chain SKUs, reviewed periodically.</t>
  </si>
  <si>
    <t xml:space="preserve">Extend temperature-continuity tracking to over 90% of chain stages.
Flag and review breaks (door-opening, staging delay, ante-room transit) weekly.</t>
  </si>
  <si>
    <t xml:space="preserve">Track and verify temperature continuity at every chain stage in real time for 100% of cold-chain SKUs.
Automate escalation the moment a break occurs, including at reefer vehicle handover.</t>
  </si>
  <si>
    <t>Start calculating uptime % from the existing breakdown log, and schedule a first backup-refrigeration test.</t>
  </si>
  <si>
    <t xml:space="preserve">Track refrigeration uptime monthly.
Test backup refrigeration periodically and confirm alarms exist.</t>
  </si>
  <si>
    <t xml:space="preserve">Track uptime weekly and hold it above a defined benchmark.
Test backup refrigeration on a defined schedule and track alarm response time against a target.</t>
  </si>
  <si>
    <t xml:space="preserve">Track uptime continuously above 99%+, with backup refrigeration tested and proven on schedule for zero unplanned downtime.
Automate alarm escalation with response time consistently under target.</t>
  </si>
  <si>
    <t>Document the list of F&amp;B/Non-GST products and start marking their storage/processing zones, even informally.</t>
  </si>
  <si>
    <t>Define storage/processing zones and follow them for the majority of applicable SKUs, audited periodically.</t>
  </si>
  <si>
    <t>Control zone access/movement (physical barriers, defined transfer points) for over 90% of applicable SKUs, audited monthly with corrective action on drift.</t>
  </si>
  <si>
    <t>System-enforce movement control (e.g., WMS location-type restrictions) for 100% of applicable SKUs, sustaining zero unresolved audit findings.</t>
  </si>
  <si>
    <t>Set up a manual register/spreadsheet tracking F&amp;B/Non-GST inventory separately from the WMS, as an interim step.</t>
  </si>
  <si>
    <t xml:space="preserve">Tag the majority of applicable SKUs with a distinct location/inventory type in the WMS.
Maintain and periodically reconcile documentation (billing flow, ownership records).</t>
  </si>
  <si>
    <t xml:space="preserve">Extend WMS tagging to over 90% of applicable SKUs with system-enforced segregation.
Reconcile documentation and billing flow monthly with zero unresolved discrepancies.</t>
  </si>
  <si>
    <t xml:space="preserve">Fully segregate 100% of applicable SKUs in the WMS with system-enforced controls and complete traceability.
Reconcile documentation in real time with zero discrepancies, sustained over consecutive cycles.</t>
  </si>
  <si>
    <t>Brief operational staff on the specific segregation compliance requirement, beyond general awareness that it matters.</t>
  </si>
  <si>
    <t>Introduce a periodic internal audit of physical/system/documentation consistency, with findings logged.</t>
  </si>
  <si>
    <t xml:space="preserve">Move the audit to a defined schedule (e.g., quarterly) with findings closed within a defined SLA.
Establish a working relationship with a tax/compliance function to flag ambiguous cases.</t>
  </si>
  <si>
    <t xml:space="preserve">Sustain a zero-unresolved-finding audit record.
Proactively escalate any ambiguous product/process scenario to a GST/Tax specialist for documented validation before it becomes operational practice.</t>
  </si>
  <si>
    <t>Refresh the outdated process-flow map to reflect how the facility actually operates today.</t>
  </si>
  <si>
    <t xml:space="preserve">Build a current process-flow map identifying the majority of backtracking/cross-movement/congestion points, reviewed periodically.
Apply basic mitigations (signage, marked lanes).</t>
  </si>
  <si>
    <t xml:space="preserve">Review and update the flow map on a defined cadence (e.g., quarterly) using actual movement/congestion data.
Track mitigations and measurably reduce backtracking incidents year-on-year.</t>
  </si>
  <si>
    <t xml:space="preserve">Continuously validate the flow map against real operational data.
Hold backtracking, cross-movement, and MHE/pedestrian conflict at or near a documented practical minimum as a standing governance item.</t>
  </si>
  <si>
    <t>Build an informal capacity sense for a handful of zones (e.g., cold rooms), and start logging congestion/overflow incidents by zone.</t>
  </si>
  <si>
    <t xml:space="preserve">Run a documented capacity/inventory math check (size derived from expected volume/inventory, not eyeballed) for the majority of the ~18 functional zones, reviewed periodically.
Log congestion/overflow incidents by zone.
Assess emergency-exit count and nearest-distance-to-exit adequacy as a design criterion for the majority of the facility.
Assess fire-extinguisher placement adequacy as a design criterion, even if not comprehensively yet.</t>
  </si>
  <si>
    <t xml:space="preserve">Extend the documented capacity/inventory math check to all ~18 functional zones on a defined cadence.
Flag constrained zones for a follow-up sizing study and excess-capacity zones for reallocation.
Assess emergency-exit count/distance and fire-extinguisher placement adequacy for the full facility, tracking gaps to closure.</t>
  </si>
  <si>
    <t xml:space="preserve">Continuously monitor all ~18 functional zones against actual utilization data via a standing capacity/inventory math check.
Feed findings into a facility-improvement backlog with measurable resolution of previously constrained zones.
Eliminate all unresolved emergency-exit/distance and fire-extinguisher placement design gaps.</t>
  </si>
  <si>
    <t>Formalize the informal high-velocity SKU slotting into a documented rule, even if applied narrowly.</t>
  </si>
  <si>
    <t xml:space="preserve">Apply a documented velocity-based slotting methodology to the majority of SKUs.
Measure storage density/rack utilization periodically.</t>
  </si>
  <si>
    <t xml:space="preserve">Extend slotting to over 90% of SKUs, reviewed on a defined cadence (e.g., monthly) using actual movement data.
Hold storage density/utilization above a defined benchmark.</t>
  </si>
  <si>
    <t xml:space="preserve">Continuously optimize slotting using real movement data for 100% of SKUs.
Track storage density/utilization in real time with a documented, sustained improvement trend.</t>
  </si>
  <si>
    <t>Start measuring dock queuing time instead of relying on staff perception, and formalize the informal inbound/outbound segregation.</t>
  </si>
  <si>
    <t xml:space="preserve">Document dock count and utilization against average daily volume, reviewed periodically.
Follow inbound/outbound segregation most of the time.</t>
  </si>
  <si>
    <t xml:space="preserve">Review dock count and utilization against both average and peak volume.
Track queuing time against a target and enforce inbound/outbound segregation with defined exceptions.</t>
  </si>
  <si>
    <t xml:space="preserve">Continuously validate dock adequacy against actual and forecast peak volume.
Eliminate unmanaged inbound/outbound conflicts and plan for dock-vehicle compatibility.</t>
  </si>
  <si>
    <t>Conduct a first reactive assessment of insulation/door condition, and flag any missing ante-rooms as a design gap.</t>
  </si>
  <si>
    <t xml:space="preserve">Document an assessment of insulation, door condition, ante-room presence, and temperature uniformity for the majority of cold rooms, reviewed periodically.
Log overloading incidents.</t>
  </si>
  <si>
    <t xml:space="preserve">Refresh the assessment on a defined cadence for all cold rooms.
Track identified gaps (missing ante-room, poor uniformity, overloading) to resolution or flag for a design study.</t>
  </si>
  <si>
    <t xml:space="preserve">Continuously monitor cold-room civil condition (e.g., uniformity mapping).
Resolve all insulation/door/ante-room gaps and keep utilization within rated capacity.</t>
  </si>
  <si>
    <t>Formalize the informal segregation (e.g., separate tables) into a documented practice, and begin assessing personnel flow, drainage, and pest control together.</t>
  </si>
  <si>
    <t>Document a food-safety facility assessment (raw/processed segregation, personnel flow, drainage, pest control, wash/hand-wash areas) and follow it for the majority of the facility, reviewed periodically.</t>
  </si>
  <si>
    <t xml:space="preserve">Refresh the assessment on a defined cadence (e.g., quarterly), achieving over 90% compliance.
Track identified gaps to closure.</t>
  </si>
  <si>
    <t xml:space="preserve">Continuously monitor and audit food-safety facility compliance.
Sustain zero unresolved gaps across consecutive audit cycles and eliminate or fully control cross-contamination risk points.</t>
  </si>
  <si>
    <t>Formalize the half-day briefing into a defined program and start applying it consistently.</t>
  </si>
  <si>
    <t>Define an induction program (safety, quality/food-safety basics, role overview) and complete it for the majority of new hires before independent work, tracked via checklist.</t>
  </si>
  <si>
    <t xml:space="preserve">Extend induction completion to over 90% of new hires, tracked systematically.
Add a basic competency check before sign-off to independent work.</t>
  </si>
  <si>
    <t xml:space="preserve">Achieve 100% induction completion with a documented competency sign-off.
Refresh content periodically and track completion as a standing HR/Operations KPI.</t>
  </si>
  <si>
    <t>Extend the existing training curriculum (e.g., QC, cold-chain handling) to cover other roles.</t>
  </si>
  <si>
    <t>Define a curriculum for the majority of roles, tracking completion via a checklist or basic test for the majority of employees.</t>
  </si>
  <si>
    <t>Extend curriculum coverage to over 90% of roles with formal certification/sign-off, tracked systematically and refreshed when SOPs change.</t>
  </si>
  <si>
    <t>Cover 100% of roles with formal certification, systematically tracked, and directly link it to task authorization so an employee cannot be rostered without current certification.</t>
  </si>
  <si>
    <t>Start tracking training completion as a headcount/attendance metric, even if its effect on performance isn't measured yet.</t>
  </si>
  <si>
    <t xml:space="preserve">Start informally measuring time-to-target-productivity for some roles, and occasionally comparing productivity/error rates between trained and untrained staff.
Begin noting current certification status in effectiveness reviews, even without checking recertification timeliness.</t>
  </si>
  <si>
    <t xml:space="preserve">Track time-to-target-productivity and error-rate differential (trained vs. new) routinely for the majority of roles, feeding periodic curriculum updates.
Require a valid, current role certification - not just one-time training attendance - for 'effective' training on the majority of roles.
Factor recertification timeliness into the effectiveness view.</t>
  </si>
  <si>
    <t xml:space="preserve">Track training effectiveness as a standing output metric for all roles, continuously revising the curriculum based on the data.
Define 'effective' training for 100% of roles as certified AND currently recertified.
Stop counting an employee with a lapsed certification as effectively trained, regardless of past performance.</t>
  </si>
  <si>
    <t>Start tracking the cross-training that already happens informally as a coverage metric.</t>
  </si>
  <si>
    <t xml:space="preserve">Build a cross-training plan for the majority of critical roles, tracking coverage periodically.
Identify single-point-of-failure roles.</t>
  </si>
  <si>
    <t>Track cross-training coverage for over 90% of critical roles against a defined target (e.g., at least 2 backup-trained employees per role).</t>
  </si>
  <si>
    <t xml:space="preserve">Track multi-skilling coverage in real time against a defined target for all critical roles.
Eliminate single-point-of-failure roles through routine roster planning.</t>
  </si>
  <si>
    <t>Set up a defined idea-submission mechanism (beyond a passive suggestion box) and review it periodically, even monthly.</t>
  </si>
  <si>
    <t>Review submitted ideas on a defined cadence with implemented ideas tracked, even if participation is still limited.</t>
  </si>
  <si>
    <t xml:space="preserve">Actively promote the mechanism to get participation from the majority of teams.
Review ideas on a defined cadence with feedback to submitters and track implementation rate.</t>
  </si>
  <si>
    <t xml:space="preserve">Sustain a continuous-improvement culture with broad frontline participation, a fast review-and-feedback cycle, and recognition for implemented ideas.
Track a positive trend in submission/implementation rate over time.</t>
  </si>
  <si>
    <t>Move from occasional, incident-triggered refreshers to a defined, scheduled cadence, even if adherence is still inconsistent.</t>
  </si>
  <si>
    <t>Define a refresher cadence for the majority of safety-critical and food-safety roles, tracked via checklist.</t>
  </si>
  <si>
    <t xml:space="preserve">Extend the refresher cadence to over 90% of applicable roles with tracked adherence.
Update content when SOPs or regulations change.</t>
  </si>
  <si>
    <t xml:space="preserve">Extend the refresher/recertification cadence to 100% of applicable roles with automated due-date reminders.
Sustain compliance at 98%+ across consecutive cycles.</t>
  </si>
  <si>
    <t>review_status</t>
  </si>
  <si>
    <t>Closed</t>
  </si>
  <si>
    <t>Needs review</t>
  </si>
  <si>
    <t>Process</t>
  </si>
  <si>
    <t>Activity</t>
  </si>
  <si>
    <t>FC</t>
  </si>
  <si>
    <t>Planning</t>
  </si>
  <si>
    <t>Planning Day</t>
  </si>
  <si>
    <t>D-2</t>
  </si>
  <si>
    <t>D-1</t>
  </si>
  <si>
    <t>Planning accuracy %age / Fill rate</t>
  </si>
  <si>
    <t>Facility</t>
  </si>
  <si>
    <t>Size</t>
  </si>
  <si>
    <t>40000 sq ft</t>
  </si>
  <si>
    <t># of units handled</t>
  </si>
  <si>
    <t>1.5-1.6 lakh units</t>
  </si>
  <si>
    <t>4 lakhs units</t>
  </si>
  <si>
    <t>2.2 Lakh unit (most cross dock - 70% , no leafy packing ,sorted at CC) (ask gangaraj for DB)</t>
  </si>
  <si>
    <t>Througput</t>
  </si>
  <si>
    <t>3.75 unit/sq ft</t>
  </si>
  <si>
    <t>3.33 units/sqft(peak of 5 unit/sq ft)</t>
  </si>
  <si>
    <t>Cost per order</t>
  </si>
  <si>
    <t>Collection center</t>
  </si>
  <si>
    <t>Area</t>
  </si>
  <si>
    <t>Throughput</t>
  </si>
  <si>
    <t>13- 15 Tons</t>
  </si>
  <si>
    <t>Vehicle dispatch cutoff</t>
  </si>
  <si>
    <t>02:30 P-3:00 PM</t>
  </si>
  <si>
    <t>04:00 PM for Sumdhura and 02:30 for Neelmangala</t>
  </si>
  <si>
    <t>Contribution</t>
  </si>
  <si>
    <t>Unloading</t>
  </si>
  <si>
    <t># of labour</t>
  </si>
  <si>
    <t>40 depending on indent</t>
  </si>
  <si>
    <t>400-450 for complete 2 shift operations</t>
  </si>
  <si>
    <t>Ask gangaraj</t>
  </si>
  <si>
    <t>Productivity</t>
  </si>
  <si>
    <t>500 units/person/hour ( low because of actual counting)</t>
  </si>
  <si>
    <t>600 crates/hour</t>
  </si>
  <si>
    <t>2200-2500 , high because Coming from CC so no unit counting , only stock transfer(ask time for unloading of the vehicle and number of crates for gangaraj)</t>
  </si>
  <si>
    <t>Shift or work hours</t>
  </si>
  <si>
    <t>6-7 hours (3 PM - 9 PM peak)</t>
  </si>
  <si>
    <t>9 am , 1:30 pm ,2:30 pm</t>
  </si>
  <si>
    <t>Shift - 8 to 4 PM, 2 PM -11 PM</t>
  </si>
  <si>
    <t xml:space="preserve">3 shifts - 
9 AM to 6 PM
4 PM to 1 A M
6 PM to 3 AM</t>
  </si>
  <si>
    <t>Number of docks</t>
  </si>
  <si>
    <t>4 (But converts it to 7-8 docks )</t>
  </si>
  <si>
    <t>12(6 for milk and bread 6 for FnV</t>
  </si>
  <si>
    <t>10 (Inline docks ,with same dock being used for IB and OB</t>
  </si>
  <si>
    <t>6 ( 4 pickup+2 bolero capacity)</t>
  </si>
  <si>
    <t>Size of vehicles</t>
  </si>
  <si>
    <t>Bolero and Pickup</t>
  </si>
  <si>
    <t>15-20 vendor,20 from cc, 15 DB</t>
  </si>
  <si>
    <t>13-15 vehicles of CC and vendors 25-30 Upto 9 PM at last</t>
  </si>
  <si>
    <t>Number of crates in each vehicle type</t>
  </si>
  <si>
    <t>80-120 (20KG vehicles)</t>
  </si>
  <si>
    <t>small 10 Kg crates for bulk and 3 kg for leafy , 5 kg for capsicum , beans</t>
  </si>
  <si>
    <t>Inbound</t>
  </si>
  <si>
    <t>Fill rate</t>
  </si>
  <si>
    <t>93-95%</t>
  </si>
  <si>
    <t>Acceptable quality</t>
  </si>
  <si>
    <t>Sampling %age</t>
  </si>
  <si>
    <t>mandate of 10% for all lots ,</t>
  </si>
  <si>
    <t>mandate of 10% for all lots ,but not done for all</t>
  </si>
  <si>
    <t>Rejection rate and criteria</t>
  </si>
  <si>
    <t>if rejection&gt;25% , then vehicle rejected. But not done for all vehicles</t>
  </si>
  <si>
    <t>if rejection&gt;20% , then vehicle rejected. But not done for all vehicles</t>
  </si>
  <si>
    <t>Slot adherence %age</t>
  </si>
  <si>
    <t>Dump</t>
  </si>
  <si>
    <t>Sorting and Grading</t>
  </si>
  <si>
    <t>Productivity (product wise)</t>
  </si>
  <si>
    <t>75 unit/person/hour(same MP for S&amp;G and packing)</t>
  </si>
  <si>
    <t>80-90 units/person/hor</t>
  </si>
  <si>
    <t>80-90 unit/person/hour</t>
  </si>
  <si>
    <t>After S&amp;G ,QC %age</t>
  </si>
  <si>
    <t>Not done</t>
  </si>
  <si>
    <t>Acceptable %age</t>
  </si>
  <si>
    <t>NA</t>
  </si>
  <si>
    <t>Labor on each table</t>
  </si>
  <si>
    <t>No of tables</t>
  </si>
  <si>
    <t>In use 7 , but station for 14 tables</t>
  </si>
  <si>
    <t>Shrinkage % (Product wise)</t>
  </si>
  <si>
    <t>1 percent</t>
  </si>
  <si>
    <t>1.5% at DC (but inclusive of Dump also)</t>
  </si>
  <si>
    <t>RTV process</t>
  </si>
  <si>
    <t>same day ( except of onion &amp; potato )</t>
  </si>
  <si>
    <t>Quality</t>
  </si>
  <si>
    <t>At inbound Sampling %age</t>
  </si>
  <si>
    <t>mandate of 10% for all lots , if rejection&gt;25% , then vehicle rejected. But not done for all vehicles</t>
  </si>
  <si>
    <t>10% of all lots, &gt;20% defefct then reject all</t>
  </si>
  <si>
    <t>Return %age</t>
  </si>
  <si>
    <t>Damages/Dump</t>
  </si>
  <si>
    <t xml:space="preserve">End to end - CPO - 40-45 paise - daily 7L for 200 DH
No dump at MH but recovery - 5 paise CPO
Middle mile - CPO 20 paise 
DH - CPO 20 paise</t>
  </si>
  <si>
    <t>1.5% lotting loss</t>
  </si>
  <si>
    <t xml:space="preserve">
3% at CC 
1.5% at DC
3% at Dark stores</t>
  </si>
  <si>
    <t>Shrinkage</t>
  </si>
  <si>
    <t>CPO 20 paise</t>
  </si>
  <si>
    <t>Expired</t>
  </si>
  <si>
    <t>Not calculated</t>
  </si>
  <si>
    <t>Included in Damages/Dump</t>
  </si>
  <si>
    <t>Customer complaints</t>
  </si>
  <si>
    <t>1.5% , no return ,only refund</t>
  </si>
  <si>
    <t>1%, no return only refund</t>
  </si>
  <si>
    <t>DQR %age</t>
  </si>
  <si>
    <t>not done</t>
  </si>
  <si>
    <t>Productivity(product wise)</t>
  </si>
  <si>
    <t>S&amp;G and packing done together</t>
  </si>
  <si>
    <t>90 units/person/hour</t>
  </si>
  <si>
    <t>100 unit/person/hour</t>
  </si>
  <si>
    <t>Packaging material used product wise (Product wise)</t>
  </si>
  <si>
    <t># of tables</t>
  </si>
  <si>
    <t>10 (But uses only 3-4 for 10K units)</t>
  </si>
  <si>
    <t>In use 45 but station for 75 tables</t>
  </si>
  <si>
    <t>20 # no of tables( 5 for fruits and 15 for veggies) - (ask gangaraj for packing of leafy area)</t>
  </si>
  <si>
    <t>Repacking %age</t>
  </si>
  <si>
    <t>Restickering %age</t>
  </si>
  <si>
    <t>Packing cost/unit (Product wise)</t>
  </si>
  <si>
    <t>Packing material storage area</t>
  </si>
  <si>
    <t>Within warehouse but 90% received packed</t>
  </si>
  <si>
    <t>Inside the warehouse</t>
  </si>
  <si>
    <t>Staging/Inventory</t>
  </si>
  <si>
    <t>DoI (product wise)</t>
  </si>
  <si>
    <t>1 ( 7-8 execept for eggs)</t>
  </si>
  <si>
    <t xml:space="preserve">1 because of CC for veggies and bread and milk
3 days for Imported
3 days for Eggs</t>
  </si>
  <si>
    <t xml:space="preserve">1 because of CC,milk and bread
3 days for Imported 
3 days for Eggs</t>
  </si>
  <si>
    <t>Inventory accuracy</t>
  </si>
  <si>
    <t>No staging (because of vendor packing)</t>
  </si>
  <si>
    <t>Scan based for picking and Allocation</t>
  </si>
  <si>
    <t>Dump %age</t>
  </si>
  <si>
    <t>Near expiry</t>
  </si>
  <si>
    <t>Allocation accuracy</t>
  </si>
  <si>
    <t>600 unit/person/hour</t>
  </si>
  <si>
    <t># of labors</t>
  </si>
  <si>
    <t xml:space="preserve">24 , (but reuirqrement of 28 for 24 DHs)
Picking is done for 6-7 hours</t>
  </si>
  <si>
    <t>(150 DS)</t>
  </si>
  <si>
    <t>Number of DHs</t>
  </si>
  <si>
    <t>Loading</t>
  </si>
  <si>
    <t>2500 unit/person/hour</t>
  </si>
  <si>
    <t>30 - same as the unloading labor</t>
  </si>
  <si>
    <t>Size of the vehicle vs Number of crates</t>
  </si>
  <si>
    <t xml:space="preserve">24 DH, 24 Vehicle 
14 ft - 8 vehicle
10 ft - 2 vehicle
8 ft - 2 vehicle
17 ft - 2 vehicle
Cut and leafy in reefer vehicle</t>
  </si>
  <si>
    <t xml:space="preserve">70-75 vehicles 
(80% of which is 19 feet)
Batching only for new Dark stores</t>
  </si>
  <si>
    <t>Dispatches</t>
  </si>
  <si>
    <t>Dispatch schedule (Cut off)</t>
  </si>
  <si>
    <t>2-2:30 AM depending on DH vicinity</t>
  </si>
  <si>
    <t>02-02:30 AM depending on DH</t>
  </si>
  <si>
    <t>2-2:30 AM depending DH</t>
  </si>
  <si>
    <t>Number of dispatch waves</t>
  </si>
  <si>
    <t>1 in complete day</t>
  </si>
  <si>
    <t>1 in complete day (ask Praveen)</t>
  </si>
  <si>
    <t>3 ( morning 2-2:30 AM , afternoon replenishement - 10 AM , reefer - 2AM )</t>
  </si>
  <si>
    <t>Middle mile cost</t>
  </si>
  <si>
    <t>70000 per month for 14 ft vehicle capped at 1500 KM</t>
  </si>
  <si>
    <t>Only for complaint high complaint SKUs on sample basis</t>
  </si>
  <si>
    <t>Vehicle utlisation %age</t>
  </si>
  <si>
    <t>&gt;80%</t>
  </si>
  <si>
    <t>Outbound capacity utilisation</t>
  </si>
  <si>
    <t>Route utlisation %age</t>
  </si>
  <si>
    <t>1 vehicle -1 DH , but optimisation done for reefer vehicle</t>
  </si>
  <si>
    <t>crate size</t>
  </si>
  <si>
    <t>21X14X10.5 cu.inch</t>
  </si>
  <si>
    <t>20x11x8 cu inch</t>
  </si>
  <si>
    <t>Arrival at CH</t>
  </si>
  <si>
    <t>Arrival time cutoff</t>
  </si>
  <si>
    <t>On time arrival adherence</t>
  </si>
  <si>
    <t>Dispatch vs received gap</t>
  </si>
  <si>
    <t>AQR</t>
  </si>
  <si>
    <t>60-70% DH does it</t>
  </si>
  <si>
    <t># of CH</t>
  </si>
  <si>
    <t>CH area /size</t>
  </si>
  <si>
    <t>Order for CH</t>
  </si>
  <si>
    <t>U2O for CH</t>
  </si>
  <si>
    <t>Vehicle cutoff time</t>
  </si>
  <si>
    <t># of putaway person</t>
  </si>
  <si>
    <t># of picker person</t>
  </si>
  <si>
    <t>#picker productivity</t>
  </si>
  <si>
    <t># packer</t>
  </si>
  <si>
    <t># packer productivity</t>
  </si>
  <si>
    <t>SLA time per order</t>
  </si>
  <si>
    <t>SLA time per unit</t>
  </si>
  <si>
    <t># No of zones</t>
  </si>
  <si>
    <t># of SKUs</t>
  </si>
  <si>
    <t>size of racks</t>
  </si>
  <si>
    <t>size of crates</t>
  </si>
  <si>
    <t>Putaway process</t>
  </si>
  <si>
    <t>Picking process</t>
  </si>
  <si>
    <t>table design</t>
  </si>
  <si>
    <t>sizes to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</si>
</sst>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theme="1"/>
      <sz val="11"/>
      <name val="Calibri"/>
    </font>
    <font>
      <color theme="1"/>
      <scheme val="minor"/>
      <name val="Calibri"/>
    </font>
    <font>
      <color theme="1"/>
      <sz val="10"/>
      <name val="Arial"/>
    </font>
    <font>
      <b/>
      <color rgb="FFFFFFFF"/>
      <sz val="10"/>
      <name val="Arial"/>
    </font>
    <font>
      <color theme="1"/>
      <sz val="10"/>
      <name val="Helvetica Neue"/>
    </font>
  </fonts>
  <fills count="6">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3C78D8"/>
        <bgColor rgb="FF3C78D8"/>
      </patternFill>
    </fill>
  </fills>
  <borders count="4">
    <border>
      <left/>
      <right/>
      <top/>
      <bottom/>
      <diagonal/>
    </border>
    <border>
      <left/>
      <right/>
      <top/>
      <bottom style="medium">
        <color rgb="FFD9D9D9"/>
      </bottom>
      <diagonal/>
    </border>
    <border>
      <left/>
      <right style="medium">
        <color rgb="FFD9D9D9"/>
      </right>
      <top/>
      <bottom/>
      <diagonal/>
    </border>
    <border>
      <left/>
      <right style="medium">
        <color rgb="FFD9D9D9"/>
      </right>
      <top/>
      <bottom style="medium">
        <color rgb="FFD9D9D9"/>
      </bottom>
      <diagonal/>
    </border>
  </borders>
  <cellStyleXfs count="1">
    <xf numFmtId="0" fontId="0" fillId="0" borderId="0"/>
  </cellStyleXfs>
  <cellXfs count="24">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0" fontId="2" fillId="0" borderId="0" xfId="0" applyFont="1"/>
    <xf numFmtId="0" fontId="1" fillId="0" borderId="0" xfId="0" applyFont="1" applyAlignment="1">
      <alignment horizontal="left" vertical="center" wrapText="1"/>
    </xf>
    <xf numFmtId="0" fontId="1" fillId="3" borderId="0" xfId="0" applyFont="1" applyFill="1" applyAlignment="1">
      <alignment horizontal="left" vertical="center" wrapText="1"/>
    </xf>
    <xf numFmtId="0" fontId="1" fillId="0" borderId="0" xfId="0" applyFont="1" applyAlignment="1">
      <alignment vertical="top" wrapText="1"/>
    </xf>
    <xf numFmtId="0" fontId="2" fillId="0" borderId="0" xfId="0" applyFont="1" applyAlignment="1">
      <alignment readingOrder="1"/>
    </xf>
    <xf numFmtId="0" fontId="3" fillId="0" borderId="0" xfId="0" applyFont="1" applyAlignment="1">
      <alignment wrapText="1"/>
    </xf>
    <xf numFmtId="0" fontId="3" fillId="4" borderId="0" xfId="0" applyFont="1" applyFill="1" applyAlignment="1">
      <alignment vertical="center" wrapText="1"/>
    </xf>
    <xf numFmtId="0" fontId="4" fillId="5" borderId="1" xfId="0" applyFont="1" applyFill="1" applyBorder="1" applyAlignment="1">
      <alignment vertical="center" wrapText="1"/>
    </xf>
    <xf numFmtId="0" fontId="4" fillId="5" borderId="1" xfId="0" applyFont="1" applyFill="1" applyBorder="1" applyAlignment="1">
      <alignment horizontal="center" vertical="center" wrapText="1"/>
    </xf>
    <xf numFmtId="0" fontId="4" fillId="5" borderId="0" xfId="0" applyFont="1" applyFill="1" applyAlignment="1">
      <alignment wrapText="1"/>
    </xf>
    <xf numFmtId="0" fontId="3" fillId="0" borderId="2" xfId="0" applyFont="1" applyBorder="1" applyAlignment="1">
      <alignment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0" xfId="0" applyFont="1" applyAlignment="1">
      <alignment horizontal="right" wrapText="1"/>
    </xf>
    <xf numFmtId="0" fontId="3" fillId="0" borderId="3" xfId="0" applyFont="1" applyBorder="1" applyAlignment="1">
      <alignment horizontal="center" vertical="center" wrapText="1"/>
    </xf>
    <xf numFmtId="18" fontId="5" fillId="0" borderId="3" xfId="0" applyNumberFormat="1" applyFont="1" applyBorder="1" applyAlignment="1">
      <alignment horizontal="center" vertical="center" wrapText="1"/>
    </xf>
    <xf numFmtId="9" fontId="5" fillId="0" borderId="3" xfId="0" applyNumberFormat="1" applyFont="1" applyBorder="1" applyAlignment="1">
      <alignment horizontal="center" vertical="center" wrapText="1"/>
    </xf>
    <xf numFmtId="9" fontId="3"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workbookViewId="0" zoomScale="100" zoomScaleNormal="100">
      <pane xSplit="4" ySplit="1" topLeftCell="E2" activePane="bottomRight" state="frozen"/>
      <selection pane="bottomRight" activeCell="E2" sqref="E2"/>
    </sheetView>
  </sheetViews>
  <sheetFormatPr defaultRowHeight="15" outlineLevelRow="0" outlineLevelCol="0" x14ac:dyDescent="0" defaultColWidth="14.43"/>
  <cols>
    <col min="1" max="1" width="10" customWidth="1"/>
    <col min="2" max="2" width="34" customWidth="1"/>
    <col min="3" max="3" width="7.14" customWidth="1"/>
    <col min="4" max="4" width="12" customWidth="1"/>
    <col min="5" max="5" width="7.71" customWidth="1"/>
    <col min="6" max="6" width="12.14" customWidth="1"/>
    <col min="7" max="7" width="42" customWidth="1"/>
    <col min="8" max="12" width="55" customWidth="1"/>
    <col min="15" max="15" width="14" customWidth="1"/>
    <col min="17" max="17" width="42" customWidth="1"/>
    <col min="18" max="18" width="4.71" customWidth="1"/>
    <col min="19" max="19" width="32" customWidth="1"/>
    <col min="20" max="20" width="55" customWidth="1"/>
    <col min="21" max="21" width="30" customWidth="1"/>
    <col min="22" max="22" width="8" customWidth="1"/>
    <col min="23" max="23" width="45" customWidth="1"/>
    <col min="24" max="24" width="10" customWidth="1"/>
    <col min="25" max="25" width="8" customWidth="1"/>
    <col min="26" max="26" width="45" customWidth="1"/>
    <col min="27" max="27" width="10" customWidth="1"/>
    <col min="28" max="28" width="8" customWidth="1"/>
    <col min="29" max="29" width="45" customWidth="1"/>
    <col min="30" max="30" width="10" customWidth="1"/>
    <col min="31" max="31" width="20" customWidth="1"/>
    <col min="32" max="32" width="40" customWidth="1"/>
    <col min="33" max="33" width="19.29" customWidth="1"/>
    <col min="34" max="34" width="30" customWidth="1"/>
    <col min="35" max="35" width="10" customWidth="1"/>
    <col min="36" max="36" width="45" customWidth="1"/>
  </cols>
  <sheetData>
    <row r="1" ht="14.25"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t="s">
        <v>15</v>
      </c>
      <c r="Q1" s="1" t="s">
        <v>16</v>
      </c>
      <c r="R1" s="2"/>
      <c r="S1" s="1" t="s">
        <v>17</v>
      </c>
      <c r="T1" s="1"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row>
    <row r="2" ht="124.5" customHeight="1" spans="1:36" x14ac:dyDescent="0.25">
      <c r="A2" s="1" t="s">
        <v>35</v>
      </c>
      <c r="B2" s="1" t="s">
        <v>36</v>
      </c>
      <c r="C2" s="1" t="s">
        <v>37</v>
      </c>
      <c r="D2" s="1" t="s">
        <v>38</v>
      </c>
      <c r="E2" s="1">
        <f t="shared" ref="E2:E120" si="0">1/25</f>
        <v>0.04</v>
      </c>
      <c r="F2" s="1" t="s">
        <v>39</v>
      </c>
      <c r="G2" s="1" t="s">
        <v>40</v>
      </c>
      <c r="H2" s="1">
        <f>1/1</f>
        <v>1</v>
      </c>
      <c r="I2" s="4" t="s">
        <v>41</v>
      </c>
      <c r="J2" s="4" t="s">
        <v>42</v>
      </c>
      <c r="K2" s="4" t="s">
        <v>43</v>
      </c>
      <c r="L2" s="4" t="s">
        <v>44</v>
      </c>
      <c r="M2" s="4" t="s">
        <v>45</v>
      </c>
      <c r="N2" s="1" t="s">
        <v>46</v>
      </c>
      <c r="O2" s="1" t="s">
        <v>47</v>
      </c>
      <c r="P2" t="s">
        <v>48</v>
      </c>
      <c r="Q2" s="4" t="s">
        <v>49</v>
      </c>
      <c r="R2" s="2"/>
      <c r="S2" s="1" t="s">
        <v>46</v>
      </c>
      <c r="T2" s="1" t="s">
        <v>50</v>
      </c>
      <c r="U2" s="4" t="s">
        <v>51</v>
      </c>
      <c r="V2" s="4" t="s">
        <v>52</v>
      </c>
      <c r="W2" s="5" t="s">
        <v>53</v>
      </c>
      <c r="X2" s="4" t="s">
        <v>54</v>
      </c>
      <c r="Y2" s="4"/>
      <c r="Z2" s="5" t="s">
        <v>53</v>
      </c>
      <c r="AA2" s="4" t="s">
        <v>54</v>
      </c>
      <c r="AB2" s="4"/>
      <c r="AC2" s="5" t="s">
        <v>53</v>
      </c>
      <c r="AD2" s="4" t="s">
        <v>54</v>
      </c>
      <c r="AE2" s="4"/>
      <c r="AF2" s="4" t="s">
        <v>53</v>
      </c>
      <c r="AG2" s="4" t="s">
        <v>55</v>
      </c>
      <c r="AH2" s="5" t="s">
        <v>53</v>
      </c>
      <c r="AI2" s="4"/>
      <c r="AJ2" s="4"/>
    </row>
    <row r="3" ht="109.5" customHeight="1" spans="1:36" x14ac:dyDescent="0.25">
      <c r="A3" s="1" t="s">
        <v>35</v>
      </c>
      <c r="B3" s="1" t="s">
        <v>36</v>
      </c>
      <c r="C3" s="1" t="s">
        <v>56</v>
      </c>
      <c r="D3" s="1" t="s">
        <v>57</v>
      </c>
      <c r="E3" s="1">
        <f t="shared" si="0"/>
        <v>0.04</v>
      </c>
      <c r="F3" s="1" t="s">
        <v>58</v>
      </c>
      <c r="G3" s="1" t="s">
        <v>59</v>
      </c>
      <c r="H3" s="1">
        <f t="shared" ref="H3:H5" si="1">1/3</f>
        <v>0.3333333333</v>
      </c>
      <c r="I3" s="4" t="s">
        <v>60</v>
      </c>
      <c r="J3" s="4" t="s">
        <v>61</v>
      </c>
      <c r="K3" s="4" t="s">
        <v>62</v>
      </c>
      <c r="L3" s="4" t="s">
        <v>63</v>
      </c>
      <c r="M3" s="4" t="s">
        <v>64</v>
      </c>
      <c r="N3" s="1" t="s">
        <v>46</v>
      </c>
      <c r="O3" s="1" t="s">
        <v>47</v>
      </c>
      <c r="P3" t="s">
        <v>65</v>
      </c>
      <c r="Q3" s="4" t="s">
        <v>66</v>
      </c>
      <c r="R3" s="2"/>
      <c r="S3" s="1" t="s">
        <v>67</v>
      </c>
      <c r="T3" s="1" t="s">
        <v>68</v>
      </c>
      <c r="U3" s="4" t="s">
        <v>69</v>
      </c>
      <c r="V3" s="4" t="s">
        <v>52</v>
      </c>
      <c r="W3" s="5" t="s">
        <v>53</v>
      </c>
      <c r="X3" s="4" t="s">
        <v>54</v>
      </c>
      <c r="Y3" s="4"/>
      <c r="Z3" s="5" t="s">
        <v>53</v>
      </c>
      <c r="AA3" s="4" t="s">
        <v>54</v>
      </c>
      <c r="AB3" s="4"/>
      <c r="AC3" s="5" t="s">
        <v>53</v>
      </c>
      <c r="AD3" s="4" t="s">
        <v>54</v>
      </c>
      <c r="AE3" s="4"/>
      <c r="AF3" s="4" t="s">
        <v>53</v>
      </c>
      <c r="AG3" s="4" t="s">
        <v>55</v>
      </c>
      <c r="AH3" s="5" t="s">
        <v>53</v>
      </c>
      <c r="AI3" s="4"/>
      <c r="AJ3" s="4"/>
    </row>
    <row r="4" ht="101.25" customHeight="1" spans="1:36" x14ac:dyDescent="0.25">
      <c r="A4" s="1" t="s">
        <v>35</v>
      </c>
      <c r="B4" s="1" t="s">
        <v>36</v>
      </c>
      <c r="C4" s="1" t="s">
        <v>56</v>
      </c>
      <c r="D4" s="1" t="s">
        <v>57</v>
      </c>
      <c r="E4" s="1">
        <f t="shared" si="0"/>
        <v>0.04</v>
      </c>
      <c r="F4" s="1" t="s">
        <v>70</v>
      </c>
      <c r="G4" s="1" t="s">
        <v>71</v>
      </c>
      <c r="H4" s="1">
        <f t="shared" si="1"/>
        <v>0.3333333333</v>
      </c>
      <c r="I4" s="4" t="s">
        <v>72</v>
      </c>
      <c r="J4" s="4" t="s">
        <v>73</v>
      </c>
      <c r="K4" s="4" t="s">
        <v>74</v>
      </c>
      <c r="L4" s="4" t="s">
        <v>75</v>
      </c>
      <c r="M4" s="4" t="s">
        <v>76</v>
      </c>
      <c r="N4" s="1" t="s">
        <v>46</v>
      </c>
      <c r="O4" s="1" t="s">
        <v>47</v>
      </c>
      <c r="P4" t="s">
        <v>65</v>
      </c>
      <c r="Q4" s="4" t="s">
        <v>77</v>
      </c>
      <c r="R4" s="2"/>
      <c r="S4" s="1" t="s">
        <v>67</v>
      </c>
      <c r="T4" s="1" t="s">
        <v>68</v>
      </c>
      <c r="U4" s="4" t="s">
        <v>78</v>
      </c>
      <c r="V4" s="4" t="s">
        <v>52</v>
      </c>
      <c r="W4" s="5" t="s">
        <v>53</v>
      </c>
      <c r="X4" s="4" t="s">
        <v>54</v>
      </c>
      <c r="Y4" s="4"/>
      <c r="Z4" s="5" t="s">
        <v>53</v>
      </c>
      <c r="AA4" s="4" t="s">
        <v>54</v>
      </c>
      <c r="AB4" s="4"/>
      <c r="AC4" s="5" t="s">
        <v>53</v>
      </c>
      <c r="AD4" s="4" t="s">
        <v>54</v>
      </c>
      <c r="AE4" s="4"/>
      <c r="AF4" s="4" t="s">
        <v>53</v>
      </c>
      <c r="AG4" s="4" t="s">
        <v>55</v>
      </c>
      <c r="AH4" s="5" t="s">
        <v>53</v>
      </c>
      <c r="AI4" s="4"/>
      <c r="AJ4" s="4"/>
    </row>
    <row r="5" ht="101.25" customHeight="1" spans="1:36" x14ac:dyDescent="0.25">
      <c r="A5" s="1" t="s">
        <v>35</v>
      </c>
      <c r="B5" s="1" t="s">
        <v>36</v>
      </c>
      <c r="C5" s="1" t="s">
        <v>56</v>
      </c>
      <c r="D5" s="1" t="s">
        <v>57</v>
      </c>
      <c r="E5" s="1">
        <f t="shared" si="0"/>
        <v>0.04</v>
      </c>
      <c r="F5" s="1" t="s">
        <v>79</v>
      </c>
      <c r="G5" s="1" t="s">
        <v>80</v>
      </c>
      <c r="H5" s="1">
        <f t="shared" si="1"/>
        <v>0.3333333333</v>
      </c>
      <c r="I5" s="4" t="s">
        <v>81</v>
      </c>
      <c r="J5" s="4" t="s">
        <v>82</v>
      </c>
      <c r="K5" s="4" t="s">
        <v>83</v>
      </c>
      <c r="L5" s="4" t="s">
        <v>84</v>
      </c>
      <c r="M5" s="4" t="s">
        <v>85</v>
      </c>
      <c r="N5" s="1" t="s">
        <v>46</v>
      </c>
      <c r="O5" s="1" t="s">
        <v>47</v>
      </c>
      <c r="P5" t="s">
        <v>65</v>
      </c>
      <c r="Q5" s="4" t="s">
        <v>86</v>
      </c>
      <c r="R5" s="2"/>
      <c r="S5" s="1" t="s">
        <v>67</v>
      </c>
      <c r="T5" s="1" t="s">
        <v>68</v>
      </c>
      <c r="U5" s="4" t="s">
        <v>87</v>
      </c>
      <c r="V5" s="4" t="s">
        <v>52</v>
      </c>
      <c r="W5" s="5" t="s">
        <v>53</v>
      </c>
      <c r="X5" s="4" t="s">
        <v>54</v>
      </c>
      <c r="Y5" s="4"/>
      <c r="Z5" s="5" t="s">
        <v>53</v>
      </c>
      <c r="AA5" s="4" t="s">
        <v>54</v>
      </c>
      <c r="AB5" s="4"/>
      <c r="AC5" s="5" t="s">
        <v>53</v>
      </c>
      <c r="AD5" s="4" t="s">
        <v>54</v>
      </c>
      <c r="AE5" s="4"/>
      <c r="AF5" s="4" t="s">
        <v>53</v>
      </c>
      <c r="AG5" s="4" t="s">
        <v>55</v>
      </c>
      <c r="AH5" s="5" t="s">
        <v>53</v>
      </c>
      <c r="AI5" s="4"/>
      <c r="AJ5" s="4"/>
    </row>
    <row r="6" ht="101.25" customHeight="1" spans="1:36" x14ac:dyDescent="0.25">
      <c r="A6" s="1" t="s">
        <v>35</v>
      </c>
      <c r="B6" s="1" t="s">
        <v>36</v>
      </c>
      <c r="C6" s="1" t="s">
        <v>88</v>
      </c>
      <c r="D6" s="1" t="s">
        <v>89</v>
      </c>
      <c r="E6" s="1">
        <f t="shared" si="0"/>
        <v>0.04</v>
      </c>
      <c r="F6" s="1" t="s">
        <v>90</v>
      </c>
      <c r="G6" s="1" t="s">
        <v>91</v>
      </c>
      <c r="H6" s="1">
        <f t="shared" ref="H6:H7" si="2">1/2</f>
        <v>0.5</v>
      </c>
      <c r="I6" s="4" t="s">
        <v>92</v>
      </c>
      <c r="J6" s="4" t="s">
        <v>93</v>
      </c>
      <c r="K6" s="4" t="s">
        <v>94</v>
      </c>
      <c r="L6" s="4" t="s">
        <v>95</v>
      </c>
      <c r="M6" s="4" t="s">
        <v>96</v>
      </c>
      <c r="N6" s="1" t="s">
        <v>46</v>
      </c>
      <c r="O6" s="1" t="s">
        <v>47</v>
      </c>
      <c r="P6" t="s">
        <v>65</v>
      </c>
      <c r="Q6" s="4" t="s">
        <v>97</v>
      </c>
      <c r="R6" s="2"/>
      <c r="S6" s="1" t="s">
        <v>98</v>
      </c>
      <c r="T6" s="1" t="s">
        <v>99</v>
      </c>
      <c r="U6" s="4" t="s">
        <v>100</v>
      </c>
      <c r="V6" s="4" t="s">
        <v>52</v>
      </c>
      <c r="W6" s="5" t="s">
        <v>53</v>
      </c>
      <c r="X6" s="4" t="s">
        <v>54</v>
      </c>
      <c r="Y6" s="4"/>
      <c r="Z6" s="5" t="s">
        <v>53</v>
      </c>
      <c r="AA6" s="4" t="s">
        <v>54</v>
      </c>
      <c r="AB6" s="4"/>
      <c r="AC6" s="5" t="s">
        <v>53</v>
      </c>
      <c r="AD6" s="4" t="s">
        <v>54</v>
      </c>
      <c r="AE6" s="4"/>
      <c r="AF6" s="4" t="s">
        <v>53</v>
      </c>
      <c r="AG6" s="4" t="s">
        <v>55</v>
      </c>
      <c r="AH6" s="5" t="s">
        <v>53</v>
      </c>
      <c r="AI6" s="4"/>
      <c r="AJ6" s="4"/>
    </row>
    <row r="7" ht="101.25" customHeight="1" spans="1:36" x14ac:dyDescent="0.25">
      <c r="A7" s="1" t="s">
        <v>35</v>
      </c>
      <c r="B7" s="1" t="s">
        <v>36</v>
      </c>
      <c r="C7" s="1" t="s">
        <v>88</v>
      </c>
      <c r="D7" s="1" t="s">
        <v>89</v>
      </c>
      <c r="E7" s="1">
        <f t="shared" si="0"/>
        <v>0.04</v>
      </c>
      <c r="F7" s="1" t="s">
        <v>101</v>
      </c>
      <c r="G7" s="1" t="s">
        <v>102</v>
      </c>
      <c r="H7" s="1">
        <f t="shared" si="2"/>
        <v>0.5</v>
      </c>
      <c r="I7" s="4" t="s">
        <v>103</v>
      </c>
      <c r="J7" s="4" t="s">
        <v>104</v>
      </c>
      <c r="K7" s="4" t="s">
        <v>105</v>
      </c>
      <c r="L7" s="4" t="s">
        <v>106</v>
      </c>
      <c r="M7" s="4" t="s">
        <v>107</v>
      </c>
      <c r="N7" s="1" t="s">
        <v>46</v>
      </c>
      <c r="O7" s="1" t="s">
        <v>47</v>
      </c>
      <c r="P7" t="s">
        <v>65</v>
      </c>
      <c r="Q7" s="4" t="s">
        <v>108</v>
      </c>
      <c r="R7" s="2"/>
      <c r="S7" s="1" t="s">
        <v>98</v>
      </c>
      <c r="T7" s="1" t="s">
        <v>99</v>
      </c>
      <c r="U7" s="4" t="s">
        <v>109</v>
      </c>
      <c r="V7" s="4" t="s">
        <v>52</v>
      </c>
      <c r="W7" s="5" t="s">
        <v>53</v>
      </c>
      <c r="X7" s="4" t="s">
        <v>54</v>
      </c>
      <c r="Y7" s="4"/>
      <c r="Z7" s="5" t="s">
        <v>53</v>
      </c>
      <c r="AA7" s="4" t="s">
        <v>54</v>
      </c>
      <c r="AB7" s="4"/>
      <c r="AC7" s="5" t="s">
        <v>53</v>
      </c>
      <c r="AD7" s="4" t="s">
        <v>54</v>
      </c>
      <c r="AE7" s="4"/>
      <c r="AF7" s="4" t="s">
        <v>53</v>
      </c>
      <c r="AG7" s="4" t="s">
        <v>55</v>
      </c>
      <c r="AH7" s="5" t="s">
        <v>53</v>
      </c>
      <c r="AI7" s="4"/>
      <c r="AJ7" s="4"/>
    </row>
    <row r="8" ht="124.5" customHeight="1" spans="1:36" x14ac:dyDescent="0.25">
      <c r="A8" s="1" t="s">
        <v>35</v>
      </c>
      <c r="B8" s="1" t="s">
        <v>36</v>
      </c>
      <c r="C8" s="1" t="s">
        <v>110</v>
      </c>
      <c r="D8" s="1" t="s">
        <v>111</v>
      </c>
      <c r="E8" s="1">
        <f t="shared" si="0"/>
        <v>0.04</v>
      </c>
      <c r="F8" s="1" t="s">
        <v>112</v>
      </c>
      <c r="G8" s="1" t="s">
        <v>113</v>
      </c>
      <c r="H8" s="1">
        <f t="shared" ref="H8:H10" si="3">1/3</f>
        <v>0.3333333333</v>
      </c>
      <c r="I8" s="4" t="s">
        <v>114</v>
      </c>
      <c r="J8" s="4" t="s">
        <v>115</v>
      </c>
      <c r="K8" s="4" t="s">
        <v>116</v>
      </c>
      <c r="L8" s="4" t="s">
        <v>117</v>
      </c>
      <c r="M8" s="4" t="s">
        <v>118</v>
      </c>
      <c r="N8" s="1" t="s">
        <v>46</v>
      </c>
      <c r="O8" s="1" t="s">
        <v>47</v>
      </c>
      <c r="P8" t="s">
        <v>65</v>
      </c>
      <c r="Q8" s="4" t="s">
        <v>119</v>
      </c>
      <c r="R8" s="2"/>
      <c r="S8" s="1" t="s">
        <v>120</v>
      </c>
      <c r="T8" s="1" t="s">
        <v>121</v>
      </c>
      <c r="U8" s="4" t="s">
        <v>122</v>
      </c>
      <c r="V8" s="4" t="s">
        <v>52</v>
      </c>
      <c r="W8" s="5" t="s">
        <v>53</v>
      </c>
      <c r="X8" s="4" t="s">
        <v>54</v>
      </c>
      <c r="Y8" s="4"/>
      <c r="Z8" s="5" t="s">
        <v>53</v>
      </c>
      <c r="AA8" s="4" t="s">
        <v>54</v>
      </c>
      <c r="AB8" s="4"/>
      <c r="AC8" s="5" t="s">
        <v>53</v>
      </c>
      <c r="AD8" s="4" t="s">
        <v>54</v>
      </c>
      <c r="AE8" s="4"/>
      <c r="AF8" s="4" t="s">
        <v>53</v>
      </c>
      <c r="AG8" s="4" t="s">
        <v>55</v>
      </c>
      <c r="AH8" s="5" t="s">
        <v>53</v>
      </c>
      <c r="AI8" s="4"/>
      <c r="AJ8" s="4"/>
    </row>
    <row r="9" ht="101.25" customHeight="1" spans="1:36" x14ac:dyDescent="0.25">
      <c r="A9" s="1" t="s">
        <v>35</v>
      </c>
      <c r="B9" s="1" t="s">
        <v>36</v>
      </c>
      <c r="C9" s="1" t="s">
        <v>110</v>
      </c>
      <c r="D9" s="1" t="s">
        <v>111</v>
      </c>
      <c r="E9" s="1">
        <f t="shared" si="0"/>
        <v>0.04</v>
      </c>
      <c r="F9" s="1" t="s">
        <v>123</v>
      </c>
      <c r="G9" s="1" t="s">
        <v>124</v>
      </c>
      <c r="H9" s="1">
        <f t="shared" si="3"/>
        <v>0.3333333333</v>
      </c>
      <c r="I9" s="4" t="s">
        <v>125</v>
      </c>
      <c r="J9" s="4" t="s">
        <v>126</v>
      </c>
      <c r="K9" s="4" t="s">
        <v>127</v>
      </c>
      <c r="L9" s="4" t="s">
        <v>128</v>
      </c>
      <c r="M9" s="4" t="s">
        <v>129</v>
      </c>
      <c r="N9" s="1" t="s">
        <v>46</v>
      </c>
      <c r="O9" s="1" t="s">
        <v>47</v>
      </c>
      <c r="P9" t="s">
        <v>65</v>
      </c>
      <c r="Q9" s="4" t="s">
        <v>130</v>
      </c>
      <c r="R9" s="2"/>
      <c r="S9" s="1"/>
      <c r="T9" s="1"/>
      <c r="U9" s="4" t="s">
        <v>131</v>
      </c>
      <c r="V9" s="4" t="s">
        <v>52</v>
      </c>
      <c r="W9" s="5" t="s">
        <v>53</v>
      </c>
      <c r="X9" s="4" t="s">
        <v>54</v>
      </c>
      <c r="Y9" s="4"/>
      <c r="Z9" s="5" t="s">
        <v>53</v>
      </c>
      <c r="AA9" s="4" t="s">
        <v>54</v>
      </c>
      <c r="AB9" s="4"/>
      <c r="AC9" s="5" t="s">
        <v>53</v>
      </c>
      <c r="AD9" s="4" t="s">
        <v>54</v>
      </c>
      <c r="AE9" s="4"/>
      <c r="AF9" s="4" t="s">
        <v>53</v>
      </c>
      <c r="AG9" s="4" t="s">
        <v>55</v>
      </c>
      <c r="AH9" s="5" t="s">
        <v>53</v>
      </c>
      <c r="AI9" s="4"/>
      <c r="AJ9" s="4"/>
    </row>
    <row r="10" ht="101.25" customHeight="1" spans="1:36" x14ac:dyDescent="0.25">
      <c r="A10" s="1" t="s">
        <v>35</v>
      </c>
      <c r="B10" s="1" t="s">
        <v>36</v>
      </c>
      <c r="C10" s="1" t="s">
        <v>110</v>
      </c>
      <c r="D10" s="1" t="s">
        <v>111</v>
      </c>
      <c r="E10" s="1">
        <f t="shared" si="0"/>
        <v>0.04</v>
      </c>
      <c r="F10" s="1" t="s">
        <v>132</v>
      </c>
      <c r="G10" s="1" t="s">
        <v>133</v>
      </c>
      <c r="H10" s="1">
        <f t="shared" si="3"/>
        <v>0.3333333333</v>
      </c>
      <c r="I10" s="4" t="s">
        <v>134</v>
      </c>
      <c r="J10" s="4" t="s">
        <v>135</v>
      </c>
      <c r="K10" s="4" t="s">
        <v>136</v>
      </c>
      <c r="L10" s="4" t="s">
        <v>137</v>
      </c>
      <c r="M10" s="4" t="s">
        <v>138</v>
      </c>
      <c r="N10" s="1" t="s">
        <v>46</v>
      </c>
      <c r="O10" s="1" t="s">
        <v>47</v>
      </c>
      <c r="P10" t="s">
        <v>65</v>
      </c>
      <c r="Q10" s="4" t="s">
        <v>139</v>
      </c>
      <c r="R10" s="2"/>
      <c r="S10" s="1" t="s">
        <v>120</v>
      </c>
      <c r="T10" s="1" t="s">
        <v>121</v>
      </c>
      <c r="U10" s="4" t="s">
        <v>140</v>
      </c>
      <c r="V10" s="4" t="s">
        <v>52</v>
      </c>
      <c r="W10" s="5" t="s">
        <v>53</v>
      </c>
      <c r="X10" s="4" t="s">
        <v>54</v>
      </c>
      <c r="Y10" s="4"/>
      <c r="Z10" s="5" t="s">
        <v>53</v>
      </c>
      <c r="AA10" s="4" t="s">
        <v>54</v>
      </c>
      <c r="AB10" s="4"/>
      <c r="AC10" s="5" t="s">
        <v>53</v>
      </c>
      <c r="AD10" s="4" t="s">
        <v>54</v>
      </c>
      <c r="AE10" s="4"/>
      <c r="AF10" s="4" t="s">
        <v>53</v>
      </c>
      <c r="AG10" s="4" t="s">
        <v>55</v>
      </c>
      <c r="AH10" s="5" t="s">
        <v>53</v>
      </c>
      <c r="AI10" s="4"/>
      <c r="AJ10" s="4"/>
    </row>
    <row r="11" ht="101.25" customHeight="1" spans="1:36" x14ac:dyDescent="0.25">
      <c r="A11" s="1" t="s">
        <v>35</v>
      </c>
      <c r="B11" s="1" t="s">
        <v>36</v>
      </c>
      <c r="C11" s="1" t="s">
        <v>141</v>
      </c>
      <c r="D11" s="1" t="s">
        <v>142</v>
      </c>
      <c r="E11" s="1">
        <f t="shared" si="0"/>
        <v>0.04</v>
      </c>
      <c r="F11" s="1" t="s">
        <v>143</v>
      </c>
      <c r="G11" s="1" t="s">
        <v>144</v>
      </c>
      <c r="H11" s="1">
        <f t="shared" ref="H11:H12" si="4">1/2</f>
        <v>0.5</v>
      </c>
      <c r="I11" s="4" t="s">
        <v>145</v>
      </c>
      <c r="J11" s="4" t="s">
        <v>146</v>
      </c>
      <c r="K11" s="4" t="s">
        <v>147</v>
      </c>
      <c r="L11" s="4" t="s">
        <v>148</v>
      </c>
      <c r="M11" s="4" t="s">
        <v>149</v>
      </c>
      <c r="N11" s="1" t="s">
        <v>46</v>
      </c>
      <c r="O11" s="1" t="s">
        <v>47</v>
      </c>
      <c r="P11" t="s">
        <v>65</v>
      </c>
      <c r="Q11" s="4" t="s">
        <v>150</v>
      </c>
      <c r="R11" s="2"/>
      <c r="S11" s="1" t="s">
        <v>151</v>
      </c>
      <c r="T11" s="1" t="s">
        <v>152</v>
      </c>
      <c r="U11" s="4" t="s">
        <v>153</v>
      </c>
      <c r="V11" s="4" t="s">
        <v>52</v>
      </c>
      <c r="W11" s="5" t="s">
        <v>53</v>
      </c>
      <c r="X11" s="4" t="s">
        <v>54</v>
      </c>
      <c r="Y11" s="4"/>
      <c r="Z11" s="5" t="s">
        <v>53</v>
      </c>
      <c r="AA11" s="4" t="s">
        <v>54</v>
      </c>
      <c r="AB11" s="4"/>
      <c r="AC11" s="5" t="s">
        <v>53</v>
      </c>
      <c r="AD11" s="4" t="s">
        <v>54</v>
      </c>
      <c r="AE11" s="4"/>
      <c r="AF11" s="4" t="s">
        <v>53</v>
      </c>
      <c r="AG11" s="4" t="s">
        <v>55</v>
      </c>
      <c r="AH11" s="5" t="s">
        <v>53</v>
      </c>
      <c r="AI11" s="4"/>
      <c r="AJ11" s="4"/>
    </row>
    <row r="12" ht="101.25" customHeight="1" spans="1:36" x14ac:dyDescent="0.25">
      <c r="A12" s="1" t="s">
        <v>35</v>
      </c>
      <c r="B12" s="1" t="s">
        <v>36</v>
      </c>
      <c r="C12" s="1" t="s">
        <v>141</v>
      </c>
      <c r="D12" s="1" t="s">
        <v>142</v>
      </c>
      <c r="E12" s="1">
        <f t="shared" si="0"/>
        <v>0.04</v>
      </c>
      <c r="F12" s="1" t="s">
        <v>154</v>
      </c>
      <c r="G12" s="1" t="s">
        <v>155</v>
      </c>
      <c r="H12" s="1">
        <f t="shared" si="4"/>
        <v>0.5</v>
      </c>
      <c r="I12" s="4" t="s">
        <v>156</v>
      </c>
      <c r="J12" s="4" t="s">
        <v>157</v>
      </c>
      <c r="K12" s="4" t="s">
        <v>158</v>
      </c>
      <c r="L12" s="4" t="s">
        <v>159</v>
      </c>
      <c r="M12" s="4" t="s">
        <v>160</v>
      </c>
      <c r="N12" s="1" t="s">
        <v>46</v>
      </c>
      <c r="O12" s="1" t="s">
        <v>47</v>
      </c>
      <c r="P12" t="s">
        <v>65</v>
      </c>
      <c r="Q12" s="4" t="s">
        <v>161</v>
      </c>
      <c r="R12" s="2"/>
      <c r="S12" s="1" t="s">
        <v>151</v>
      </c>
      <c r="T12" s="1" t="s">
        <v>152</v>
      </c>
      <c r="U12" s="4" t="s">
        <v>162</v>
      </c>
      <c r="V12" s="4" t="s">
        <v>52</v>
      </c>
      <c r="W12" s="5" t="s">
        <v>53</v>
      </c>
      <c r="X12" s="4" t="s">
        <v>54</v>
      </c>
      <c r="Y12" s="4"/>
      <c r="Z12" s="5" t="s">
        <v>53</v>
      </c>
      <c r="AA12" s="4" t="s">
        <v>54</v>
      </c>
      <c r="AB12" s="4"/>
      <c r="AC12" s="5" t="s">
        <v>53</v>
      </c>
      <c r="AD12" s="4" t="s">
        <v>54</v>
      </c>
      <c r="AE12" s="4"/>
      <c r="AF12" s="4" t="s">
        <v>53</v>
      </c>
      <c r="AG12" s="4" t="s">
        <v>55</v>
      </c>
      <c r="AH12" s="5" t="s">
        <v>53</v>
      </c>
      <c r="AI12" s="4"/>
      <c r="AJ12" s="4"/>
    </row>
    <row r="13" ht="101.25" customHeight="1" spans="1:36" x14ac:dyDescent="0.25">
      <c r="A13" s="1" t="s">
        <v>35</v>
      </c>
      <c r="B13" s="1" t="s">
        <v>36</v>
      </c>
      <c r="C13" s="1" t="s">
        <v>163</v>
      </c>
      <c r="D13" s="1" t="s">
        <v>164</v>
      </c>
      <c r="E13" s="1">
        <f t="shared" si="0"/>
        <v>0.04</v>
      </c>
      <c r="F13" s="1" t="s">
        <v>165</v>
      </c>
      <c r="G13" s="1" t="s">
        <v>166</v>
      </c>
      <c r="H13" s="1">
        <f t="shared" ref="H13:H17" si="5">1/5</f>
        <v>0.2</v>
      </c>
      <c r="I13" s="4" t="s">
        <v>167</v>
      </c>
      <c r="J13" s="4" t="s">
        <v>168</v>
      </c>
      <c r="K13" s="4" t="s">
        <v>169</v>
      </c>
      <c r="L13" s="4" t="s">
        <v>170</v>
      </c>
      <c r="M13" s="4" t="s">
        <v>171</v>
      </c>
      <c r="N13" s="1" t="s">
        <v>46</v>
      </c>
      <c r="O13" s="1" t="s">
        <v>47</v>
      </c>
      <c r="P13" t="s">
        <v>65</v>
      </c>
      <c r="Q13" s="4" t="s">
        <v>172</v>
      </c>
      <c r="R13" s="2"/>
      <c r="S13" s="1"/>
      <c r="T13" s="1"/>
      <c r="U13" s="4" t="s">
        <v>173</v>
      </c>
      <c r="V13" s="4" t="s">
        <v>52</v>
      </c>
      <c r="W13" s="5" t="s">
        <v>53</v>
      </c>
      <c r="X13" s="5" t="s">
        <v>53</v>
      </c>
      <c r="Y13" s="5" t="s">
        <v>53</v>
      </c>
      <c r="Z13" s="5" t="s">
        <v>53</v>
      </c>
      <c r="AA13" s="5" t="s">
        <v>53</v>
      </c>
      <c r="AB13" s="5" t="s">
        <v>53</v>
      </c>
      <c r="AC13" s="5" t="s">
        <v>53</v>
      </c>
      <c r="AD13" s="5" t="s">
        <v>53</v>
      </c>
      <c r="AE13" s="5" t="s">
        <v>53</v>
      </c>
      <c r="AF13" s="4" t="s">
        <v>53</v>
      </c>
      <c r="AG13" s="4" t="s">
        <v>53</v>
      </c>
      <c r="AH13" s="5" t="s">
        <v>53</v>
      </c>
      <c r="AI13" s="5" t="s">
        <v>53</v>
      </c>
      <c r="AJ13" s="5" t="s">
        <v>53</v>
      </c>
    </row>
    <row r="14" ht="101.25" customHeight="1" spans="1:36" x14ac:dyDescent="0.25">
      <c r="A14" s="1" t="s">
        <v>35</v>
      </c>
      <c r="B14" s="1" t="s">
        <v>36</v>
      </c>
      <c r="C14" s="1" t="s">
        <v>163</v>
      </c>
      <c r="D14" s="1" t="s">
        <v>164</v>
      </c>
      <c r="E14" s="1">
        <f t="shared" si="0"/>
        <v>0.04</v>
      </c>
      <c r="F14" s="1" t="s">
        <v>174</v>
      </c>
      <c r="G14" s="1" t="s">
        <v>175</v>
      </c>
      <c r="H14" s="1">
        <f t="shared" si="5"/>
        <v>0.2</v>
      </c>
      <c r="I14" s="4" t="s">
        <v>176</v>
      </c>
      <c r="J14" s="4" t="s">
        <v>177</v>
      </c>
      <c r="K14" s="4" t="s">
        <v>178</v>
      </c>
      <c r="L14" s="4" t="s">
        <v>179</v>
      </c>
      <c r="M14" s="4" t="s">
        <v>180</v>
      </c>
      <c r="N14" s="1" t="s">
        <v>46</v>
      </c>
      <c r="O14" s="1" t="s">
        <v>47</v>
      </c>
      <c r="P14" t="s">
        <v>65</v>
      </c>
      <c r="Q14" s="4" t="s">
        <v>181</v>
      </c>
      <c r="R14" s="2"/>
      <c r="S14" s="1"/>
      <c r="T14" s="1"/>
      <c r="U14" s="4" t="s">
        <v>182</v>
      </c>
      <c r="V14" s="4" t="s">
        <v>52</v>
      </c>
      <c r="W14" s="5" t="s">
        <v>53</v>
      </c>
      <c r="X14" s="5" t="s">
        <v>53</v>
      </c>
      <c r="Y14" s="5" t="s">
        <v>53</v>
      </c>
      <c r="Z14" s="5" t="s">
        <v>53</v>
      </c>
      <c r="AA14" s="5" t="s">
        <v>53</v>
      </c>
      <c r="AB14" s="5" t="s">
        <v>53</v>
      </c>
      <c r="AC14" s="5" t="s">
        <v>53</v>
      </c>
      <c r="AD14" s="5" t="s">
        <v>53</v>
      </c>
      <c r="AE14" s="5" t="s">
        <v>53</v>
      </c>
      <c r="AF14" s="4" t="s">
        <v>53</v>
      </c>
      <c r="AG14" s="4" t="s">
        <v>53</v>
      </c>
      <c r="AH14" s="5" t="s">
        <v>53</v>
      </c>
      <c r="AI14" s="5" t="s">
        <v>53</v>
      </c>
      <c r="AJ14" s="5" t="s">
        <v>53</v>
      </c>
    </row>
    <row r="15" ht="101.25" customHeight="1" spans="1:36" x14ac:dyDescent="0.25">
      <c r="A15" s="1" t="s">
        <v>35</v>
      </c>
      <c r="B15" s="1" t="s">
        <v>36</v>
      </c>
      <c r="C15" s="1" t="s">
        <v>163</v>
      </c>
      <c r="D15" s="1" t="s">
        <v>164</v>
      </c>
      <c r="E15" s="1">
        <f t="shared" si="0"/>
        <v>0.04</v>
      </c>
      <c r="F15" s="1" t="s">
        <v>183</v>
      </c>
      <c r="G15" s="1" t="s">
        <v>184</v>
      </c>
      <c r="H15" s="1">
        <f t="shared" si="5"/>
        <v>0.2</v>
      </c>
      <c r="I15" s="4" t="s">
        <v>185</v>
      </c>
      <c r="J15" s="4" t="s">
        <v>186</v>
      </c>
      <c r="K15" s="4" t="s">
        <v>187</v>
      </c>
      <c r="L15" s="4" t="s">
        <v>188</v>
      </c>
      <c r="M15" s="4" t="s">
        <v>189</v>
      </c>
      <c r="N15" s="1" t="s">
        <v>46</v>
      </c>
      <c r="O15" s="1" t="s">
        <v>47</v>
      </c>
      <c r="P15" t="s">
        <v>65</v>
      </c>
      <c r="Q15" s="4" t="s">
        <v>190</v>
      </c>
      <c r="R15" s="2"/>
      <c r="S15" s="1"/>
      <c r="T15" s="1"/>
      <c r="U15" s="4" t="s">
        <v>191</v>
      </c>
      <c r="V15" s="4" t="s">
        <v>52</v>
      </c>
      <c r="W15" s="5" t="s">
        <v>53</v>
      </c>
      <c r="X15" s="4" t="s">
        <v>54</v>
      </c>
      <c r="Y15" s="4"/>
      <c r="Z15" s="5" t="s">
        <v>53</v>
      </c>
      <c r="AA15" s="4" t="s">
        <v>54</v>
      </c>
      <c r="AB15" s="4"/>
      <c r="AC15" s="5" t="s">
        <v>53</v>
      </c>
      <c r="AD15" s="4" t="s">
        <v>54</v>
      </c>
      <c r="AE15" s="4"/>
      <c r="AF15" s="4" t="s">
        <v>53</v>
      </c>
      <c r="AG15" s="4" t="s">
        <v>55</v>
      </c>
      <c r="AH15" s="5" t="s">
        <v>53</v>
      </c>
      <c r="AI15" s="4"/>
      <c r="AJ15" s="4"/>
    </row>
    <row r="16" ht="101.25" customHeight="1" spans="1:36" x14ac:dyDescent="0.25">
      <c r="A16" s="1" t="s">
        <v>35</v>
      </c>
      <c r="B16" s="1" t="s">
        <v>36</v>
      </c>
      <c r="C16" s="1" t="s">
        <v>163</v>
      </c>
      <c r="D16" s="1" t="s">
        <v>164</v>
      </c>
      <c r="E16" s="1">
        <f t="shared" si="0"/>
        <v>0.04</v>
      </c>
      <c r="F16" s="1" t="s">
        <v>192</v>
      </c>
      <c r="G16" s="1" t="s">
        <v>193</v>
      </c>
      <c r="H16" s="1">
        <f t="shared" si="5"/>
        <v>0.2</v>
      </c>
      <c r="I16" s="4" t="s">
        <v>194</v>
      </c>
      <c r="J16" s="4" t="s">
        <v>195</v>
      </c>
      <c r="K16" s="4" t="s">
        <v>196</v>
      </c>
      <c r="L16" s="4" t="s">
        <v>197</v>
      </c>
      <c r="M16" s="4" t="s">
        <v>198</v>
      </c>
      <c r="N16" s="1" t="s">
        <v>46</v>
      </c>
      <c r="O16" s="1" t="s">
        <v>47</v>
      </c>
      <c r="P16" t="s">
        <v>65</v>
      </c>
      <c r="Q16" s="4" t="s">
        <v>199</v>
      </c>
      <c r="R16" s="2"/>
      <c r="S16" s="1" t="s">
        <v>200</v>
      </c>
      <c r="T16" s="1" t="s">
        <v>201</v>
      </c>
      <c r="U16" s="4" t="s">
        <v>202</v>
      </c>
      <c r="V16" s="4" t="s">
        <v>52</v>
      </c>
      <c r="W16" s="5" t="s">
        <v>53</v>
      </c>
      <c r="X16" s="4" t="s">
        <v>54</v>
      </c>
      <c r="Y16" s="4"/>
      <c r="Z16" s="5" t="s">
        <v>53</v>
      </c>
      <c r="AA16" s="4" t="s">
        <v>54</v>
      </c>
      <c r="AB16" s="4"/>
      <c r="AC16" s="5" t="s">
        <v>53</v>
      </c>
      <c r="AD16" s="4" t="s">
        <v>54</v>
      </c>
      <c r="AE16" s="4"/>
      <c r="AF16" s="4" t="s">
        <v>53</v>
      </c>
      <c r="AG16" s="4" t="s">
        <v>55</v>
      </c>
      <c r="AH16" s="5" t="s">
        <v>53</v>
      </c>
      <c r="AI16" s="4"/>
      <c r="AJ16" s="4"/>
    </row>
    <row r="17" ht="101.25" customHeight="1" spans="1:36" x14ac:dyDescent="0.25">
      <c r="A17" s="1" t="s">
        <v>35</v>
      </c>
      <c r="B17" s="1" t="s">
        <v>36</v>
      </c>
      <c r="C17" s="1" t="s">
        <v>163</v>
      </c>
      <c r="D17" s="1" t="s">
        <v>164</v>
      </c>
      <c r="E17" s="1">
        <f t="shared" si="0"/>
        <v>0.04</v>
      </c>
      <c r="F17" s="1" t="s">
        <v>203</v>
      </c>
      <c r="G17" s="1" t="s">
        <v>204</v>
      </c>
      <c r="H17" s="1">
        <f t="shared" si="5"/>
        <v>0.2</v>
      </c>
      <c r="I17" s="4" t="s">
        <v>205</v>
      </c>
      <c r="J17" s="4" t="s">
        <v>206</v>
      </c>
      <c r="K17" s="4" t="s">
        <v>207</v>
      </c>
      <c r="L17" s="4" t="s">
        <v>208</v>
      </c>
      <c r="M17" s="4" t="s">
        <v>209</v>
      </c>
      <c r="N17" s="1" t="s">
        <v>46</v>
      </c>
      <c r="O17" s="1" t="s">
        <v>47</v>
      </c>
      <c r="P17" t="s">
        <v>65</v>
      </c>
      <c r="Q17" s="4" t="s">
        <v>210</v>
      </c>
      <c r="R17" s="2"/>
      <c r="S17" s="1" t="s">
        <v>200</v>
      </c>
      <c r="T17" s="1" t="s">
        <v>201</v>
      </c>
      <c r="U17" s="4" t="s">
        <v>211</v>
      </c>
      <c r="V17" s="4" t="s">
        <v>52</v>
      </c>
      <c r="W17" s="5" t="s">
        <v>53</v>
      </c>
      <c r="X17" s="4" t="s">
        <v>54</v>
      </c>
      <c r="Y17" s="4"/>
      <c r="Z17" s="5" t="s">
        <v>53</v>
      </c>
      <c r="AA17" s="4" t="s">
        <v>54</v>
      </c>
      <c r="AB17" s="4"/>
      <c r="AC17" s="5" t="s">
        <v>53</v>
      </c>
      <c r="AD17" s="4" t="s">
        <v>54</v>
      </c>
      <c r="AE17" s="4"/>
      <c r="AF17" s="4" t="s">
        <v>53</v>
      </c>
      <c r="AG17" s="4" t="s">
        <v>55</v>
      </c>
      <c r="AH17" s="5" t="s">
        <v>53</v>
      </c>
      <c r="AI17" s="4"/>
      <c r="AJ17" s="4"/>
    </row>
    <row r="18" ht="101.25" customHeight="1" spans="1:36" x14ac:dyDescent="0.25">
      <c r="A18" s="1" t="s">
        <v>35</v>
      </c>
      <c r="B18" s="1" t="s">
        <v>36</v>
      </c>
      <c r="C18" s="1" t="s">
        <v>212</v>
      </c>
      <c r="D18" s="1" t="s">
        <v>213</v>
      </c>
      <c r="E18" s="1">
        <f t="shared" si="0"/>
        <v>0.04</v>
      </c>
      <c r="F18" s="1" t="s">
        <v>214</v>
      </c>
      <c r="G18" s="1" t="s">
        <v>215</v>
      </c>
      <c r="H18" s="1">
        <f>1/1</f>
        <v>1</v>
      </c>
      <c r="I18" s="4" t="s">
        <v>216</v>
      </c>
      <c r="J18" s="4" t="s">
        <v>217</v>
      </c>
      <c r="K18" s="4" t="s">
        <v>218</v>
      </c>
      <c r="L18" s="4" t="s">
        <v>219</v>
      </c>
      <c r="M18" s="4" t="s">
        <v>220</v>
      </c>
      <c r="N18" s="1" t="s">
        <v>46</v>
      </c>
      <c r="O18" s="1" t="s">
        <v>47</v>
      </c>
      <c r="P18" t="s">
        <v>65</v>
      </c>
      <c r="Q18" s="4" t="s">
        <v>221</v>
      </c>
      <c r="R18" s="2"/>
      <c r="S18" s="1" t="s">
        <v>222</v>
      </c>
      <c r="T18" s="1" t="s">
        <v>223</v>
      </c>
      <c r="U18" s="4" t="s">
        <v>224</v>
      </c>
      <c r="V18" s="4" t="s">
        <v>52</v>
      </c>
      <c r="W18" s="5" t="s">
        <v>53</v>
      </c>
      <c r="X18" s="4" t="s">
        <v>54</v>
      </c>
      <c r="Y18" s="4"/>
      <c r="Z18" s="5" t="s">
        <v>53</v>
      </c>
      <c r="AA18" s="4" t="s">
        <v>54</v>
      </c>
      <c r="AB18" s="4"/>
      <c r="AC18" s="5" t="s">
        <v>53</v>
      </c>
      <c r="AD18" s="4" t="s">
        <v>54</v>
      </c>
      <c r="AE18" s="4"/>
      <c r="AF18" s="4" t="s">
        <v>53</v>
      </c>
      <c r="AG18" s="4" t="s">
        <v>55</v>
      </c>
      <c r="AH18" s="5" t="s">
        <v>53</v>
      </c>
      <c r="AI18" s="4"/>
      <c r="AJ18" s="4"/>
    </row>
    <row r="19" ht="101.25" customHeight="1" spans="1:36" x14ac:dyDescent="0.25">
      <c r="A19" s="1" t="s">
        <v>35</v>
      </c>
      <c r="B19" s="1" t="s">
        <v>36</v>
      </c>
      <c r="C19" s="1" t="s">
        <v>225</v>
      </c>
      <c r="D19" s="1" t="s">
        <v>226</v>
      </c>
      <c r="E19" s="1">
        <f t="shared" si="0"/>
        <v>0.04</v>
      </c>
      <c r="F19" s="1" t="s">
        <v>227</v>
      </c>
      <c r="G19" s="1" t="s">
        <v>228</v>
      </c>
      <c r="H19" s="1">
        <f t="shared" ref="H19:H21" si="6">1/3</f>
        <v>0.3333333333</v>
      </c>
      <c r="I19" s="4" t="s">
        <v>229</v>
      </c>
      <c r="J19" s="4" t="s">
        <v>230</v>
      </c>
      <c r="K19" s="4" t="s">
        <v>231</v>
      </c>
      <c r="L19" s="4" t="s">
        <v>232</v>
      </c>
      <c r="M19" s="4" t="s">
        <v>233</v>
      </c>
      <c r="N19" s="1" t="s">
        <v>46</v>
      </c>
      <c r="O19" s="1" t="s">
        <v>47</v>
      </c>
      <c r="P19" t="s">
        <v>65</v>
      </c>
      <c r="Q19" s="4" t="s">
        <v>234</v>
      </c>
      <c r="R19" s="2"/>
      <c r="S19" s="1" t="s">
        <v>235</v>
      </c>
      <c r="T19" s="1" t="s">
        <v>236</v>
      </c>
      <c r="U19" s="4" t="s">
        <v>237</v>
      </c>
      <c r="V19" s="4" t="s">
        <v>52</v>
      </c>
      <c r="W19" s="5" t="s">
        <v>53</v>
      </c>
      <c r="X19" s="4" t="s">
        <v>54</v>
      </c>
      <c r="Y19" s="4"/>
      <c r="Z19" s="5" t="s">
        <v>53</v>
      </c>
      <c r="AA19" s="4" t="s">
        <v>54</v>
      </c>
      <c r="AB19" s="4"/>
      <c r="AC19" s="5" t="s">
        <v>53</v>
      </c>
      <c r="AD19" s="4" t="s">
        <v>54</v>
      </c>
      <c r="AE19" s="4"/>
      <c r="AF19" s="4" t="s">
        <v>53</v>
      </c>
      <c r="AG19" s="4" t="s">
        <v>55</v>
      </c>
      <c r="AH19" s="5" t="s">
        <v>53</v>
      </c>
      <c r="AI19" s="4"/>
      <c r="AJ19" s="4"/>
    </row>
    <row r="20" ht="101.25" customHeight="1" spans="1:36" x14ac:dyDescent="0.25">
      <c r="A20" s="1" t="s">
        <v>35</v>
      </c>
      <c r="B20" s="1" t="s">
        <v>36</v>
      </c>
      <c r="C20" s="1" t="s">
        <v>225</v>
      </c>
      <c r="D20" s="1" t="s">
        <v>226</v>
      </c>
      <c r="E20" s="1">
        <f t="shared" si="0"/>
        <v>0.04</v>
      </c>
      <c r="F20" s="1" t="s">
        <v>238</v>
      </c>
      <c r="G20" s="1" t="s">
        <v>239</v>
      </c>
      <c r="H20" s="1">
        <f t="shared" si="6"/>
        <v>0.3333333333</v>
      </c>
      <c r="I20" s="4" t="s">
        <v>240</v>
      </c>
      <c r="J20" s="4" t="s">
        <v>241</v>
      </c>
      <c r="K20" s="4" t="s">
        <v>242</v>
      </c>
      <c r="L20" s="4" t="s">
        <v>243</v>
      </c>
      <c r="M20" s="4" t="s">
        <v>244</v>
      </c>
      <c r="N20" s="1" t="s">
        <v>46</v>
      </c>
      <c r="O20" s="1" t="s">
        <v>47</v>
      </c>
      <c r="P20" t="s">
        <v>65</v>
      </c>
      <c r="Q20" s="4" t="s">
        <v>245</v>
      </c>
      <c r="R20" s="2"/>
      <c r="S20" s="1"/>
      <c r="T20" s="1"/>
      <c r="U20" s="4" t="s">
        <v>246</v>
      </c>
      <c r="V20" s="4" t="s">
        <v>52</v>
      </c>
      <c r="W20" s="5" t="s">
        <v>53</v>
      </c>
      <c r="X20" s="5" t="s">
        <v>53</v>
      </c>
      <c r="Y20" s="5" t="s">
        <v>53</v>
      </c>
      <c r="Z20" s="5" t="s">
        <v>53</v>
      </c>
      <c r="AA20" s="5" t="s">
        <v>53</v>
      </c>
      <c r="AB20" s="5" t="s">
        <v>53</v>
      </c>
      <c r="AC20" s="5" t="s">
        <v>53</v>
      </c>
      <c r="AD20" s="5" t="s">
        <v>53</v>
      </c>
      <c r="AE20" s="5" t="s">
        <v>53</v>
      </c>
      <c r="AF20" s="4" t="s">
        <v>53</v>
      </c>
      <c r="AG20" s="4" t="s">
        <v>53</v>
      </c>
      <c r="AH20" s="5" t="s">
        <v>53</v>
      </c>
      <c r="AI20" s="5" t="s">
        <v>53</v>
      </c>
      <c r="AJ20" s="5" t="s">
        <v>53</v>
      </c>
    </row>
    <row r="21" ht="101.25" customHeight="1" spans="1:36" x14ac:dyDescent="0.25">
      <c r="A21" s="1" t="s">
        <v>35</v>
      </c>
      <c r="B21" s="1" t="s">
        <v>36</v>
      </c>
      <c r="C21" s="1" t="s">
        <v>225</v>
      </c>
      <c r="D21" s="1" t="s">
        <v>226</v>
      </c>
      <c r="E21" s="1">
        <f t="shared" si="0"/>
        <v>0.04</v>
      </c>
      <c r="F21" s="1" t="s">
        <v>247</v>
      </c>
      <c r="G21" s="1" t="s">
        <v>248</v>
      </c>
      <c r="H21" s="1">
        <f t="shared" si="6"/>
        <v>0.3333333333</v>
      </c>
      <c r="I21" s="4" t="s">
        <v>249</v>
      </c>
      <c r="J21" s="4" t="s">
        <v>250</v>
      </c>
      <c r="K21" s="4" t="s">
        <v>251</v>
      </c>
      <c r="L21" s="4" t="s">
        <v>252</v>
      </c>
      <c r="M21" s="4" t="s">
        <v>253</v>
      </c>
      <c r="N21" s="1" t="s">
        <v>46</v>
      </c>
      <c r="O21" s="1" t="s">
        <v>47</v>
      </c>
      <c r="P21" t="s">
        <v>65</v>
      </c>
      <c r="Q21" s="4" t="s">
        <v>254</v>
      </c>
      <c r="R21" s="2"/>
      <c r="S21" s="1" t="s">
        <v>235</v>
      </c>
      <c r="T21" s="1" t="s">
        <v>236</v>
      </c>
      <c r="U21" s="4" t="s">
        <v>255</v>
      </c>
      <c r="V21" s="4" t="s">
        <v>52</v>
      </c>
      <c r="W21" s="5" t="s">
        <v>53</v>
      </c>
      <c r="X21" s="4" t="s">
        <v>54</v>
      </c>
      <c r="Y21" s="4"/>
      <c r="Z21" s="5" t="s">
        <v>53</v>
      </c>
      <c r="AA21" s="4" t="s">
        <v>54</v>
      </c>
      <c r="AB21" s="4"/>
      <c r="AC21" s="5" t="s">
        <v>53</v>
      </c>
      <c r="AD21" s="4" t="s">
        <v>54</v>
      </c>
      <c r="AE21" s="4"/>
      <c r="AF21" s="4" t="s">
        <v>53</v>
      </c>
      <c r="AG21" s="4" t="s">
        <v>55</v>
      </c>
      <c r="AH21" s="5" t="s">
        <v>53</v>
      </c>
      <c r="AI21" s="4"/>
      <c r="AJ21" s="4"/>
    </row>
    <row r="22" ht="101.25" customHeight="1" spans="1:36" x14ac:dyDescent="0.25">
      <c r="A22" s="1" t="s">
        <v>35</v>
      </c>
      <c r="B22" s="1" t="s">
        <v>36</v>
      </c>
      <c r="C22" s="1" t="s">
        <v>256</v>
      </c>
      <c r="D22" s="1" t="s">
        <v>257</v>
      </c>
      <c r="E22" s="1">
        <f t="shared" si="0"/>
        <v>0.04</v>
      </c>
      <c r="F22" s="1" t="s">
        <v>258</v>
      </c>
      <c r="G22" s="1" t="s">
        <v>259</v>
      </c>
      <c r="H22" s="1">
        <f>1/1</f>
        <v>1</v>
      </c>
      <c r="I22" s="4" t="s">
        <v>260</v>
      </c>
      <c r="J22" s="4" t="s">
        <v>261</v>
      </c>
      <c r="K22" s="4" t="s">
        <v>262</v>
      </c>
      <c r="L22" s="4" t="s">
        <v>263</v>
      </c>
      <c r="M22" s="4" t="s">
        <v>264</v>
      </c>
      <c r="N22" s="1" t="s">
        <v>46</v>
      </c>
      <c r="O22" s="1" t="s">
        <v>47</v>
      </c>
      <c r="P22" t="s">
        <v>65</v>
      </c>
      <c r="Q22" s="4" t="s">
        <v>265</v>
      </c>
      <c r="R22" s="2"/>
      <c r="S22" s="1" t="s">
        <v>266</v>
      </c>
      <c r="T22" s="1" t="s">
        <v>267</v>
      </c>
      <c r="U22" s="4" t="s">
        <v>268</v>
      </c>
      <c r="V22" s="4" t="s">
        <v>52</v>
      </c>
      <c r="W22" s="5" t="s">
        <v>53</v>
      </c>
      <c r="X22" s="4" t="s">
        <v>54</v>
      </c>
      <c r="Y22" s="4"/>
      <c r="Z22" s="5" t="s">
        <v>53</v>
      </c>
      <c r="AA22" s="4" t="s">
        <v>54</v>
      </c>
      <c r="AB22" s="4"/>
      <c r="AC22" s="5" t="s">
        <v>53</v>
      </c>
      <c r="AD22" s="4" t="s">
        <v>54</v>
      </c>
      <c r="AE22" s="4"/>
      <c r="AF22" s="4" t="s">
        <v>53</v>
      </c>
      <c r="AG22" s="4" t="s">
        <v>55</v>
      </c>
      <c r="AH22" s="5" t="s">
        <v>53</v>
      </c>
      <c r="AI22" s="4"/>
      <c r="AJ22" s="4"/>
    </row>
    <row r="23" ht="124.5" customHeight="1" spans="1:36" x14ac:dyDescent="0.25">
      <c r="A23" s="1" t="s">
        <v>35</v>
      </c>
      <c r="B23" s="1" t="s">
        <v>36</v>
      </c>
      <c r="C23" s="1" t="s">
        <v>269</v>
      </c>
      <c r="D23" s="1" t="s">
        <v>270</v>
      </c>
      <c r="E23" s="1">
        <f t="shared" si="0"/>
        <v>0.04</v>
      </c>
      <c r="F23" s="1" t="s">
        <v>271</v>
      </c>
      <c r="G23" s="1" t="s">
        <v>272</v>
      </c>
      <c r="H23" s="1">
        <f t="shared" ref="H23:H26" si="7">1/4</f>
        <v>0.25</v>
      </c>
      <c r="I23" s="4" t="s">
        <v>273</v>
      </c>
      <c r="J23" s="4" t="s">
        <v>274</v>
      </c>
      <c r="K23" s="4" t="s">
        <v>275</v>
      </c>
      <c r="L23" s="4" t="s">
        <v>276</v>
      </c>
      <c r="M23" s="4" t="s">
        <v>277</v>
      </c>
      <c r="N23" s="1" t="s">
        <v>46</v>
      </c>
      <c r="O23" s="1" t="s">
        <v>47</v>
      </c>
      <c r="P23" t="s">
        <v>65</v>
      </c>
      <c r="Q23" s="4" t="s">
        <v>278</v>
      </c>
      <c r="R23" s="2"/>
      <c r="S23" s="1"/>
      <c r="T23" s="1"/>
      <c r="U23" s="4" t="s">
        <v>279</v>
      </c>
      <c r="V23" s="4" t="s">
        <v>52</v>
      </c>
      <c r="W23" s="5" t="s">
        <v>53</v>
      </c>
      <c r="X23" s="4" t="s">
        <v>54</v>
      </c>
      <c r="Y23" s="4"/>
      <c r="Z23" s="5" t="s">
        <v>53</v>
      </c>
      <c r="AA23" s="4" t="s">
        <v>54</v>
      </c>
      <c r="AB23" s="4"/>
      <c r="AC23" s="5" t="s">
        <v>53</v>
      </c>
      <c r="AD23" s="4" t="s">
        <v>54</v>
      </c>
      <c r="AE23" s="4"/>
      <c r="AF23" s="4" t="s">
        <v>53</v>
      </c>
      <c r="AG23" s="4" t="s">
        <v>55</v>
      </c>
      <c r="AH23" s="5" t="s">
        <v>53</v>
      </c>
      <c r="AI23" s="4"/>
      <c r="AJ23" s="4"/>
    </row>
    <row r="24" ht="101.25" customHeight="1" spans="1:36" x14ac:dyDescent="0.25">
      <c r="A24" s="1" t="s">
        <v>35</v>
      </c>
      <c r="B24" s="1" t="s">
        <v>36</v>
      </c>
      <c r="C24" s="1" t="s">
        <v>269</v>
      </c>
      <c r="D24" s="1" t="s">
        <v>270</v>
      </c>
      <c r="E24" s="1">
        <f t="shared" si="0"/>
        <v>0.04</v>
      </c>
      <c r="F24" s="1" t="s">
        <v>280</v>
      </c>
      <c r="G24" s="1" t="s">
        <v>281</v>
      </c>
      <c r="H24" s="1">
        <f t="shared" si="7"/>
        <v>0.25</v>
      </c>
      <c r="I24" s="4" t="s">
        <v>282</v>
      </c>
      <c r="J24" s="4" t="s">
        <v>283</v>
      </c>
      <c r="K24" s="4" t="s">
        <v>284</v>
      </c>
      <c r="L24" s="4" t="s">
        <v>285</v>
      </c>
      <c r="M24" s="4" t="s">
        <v>286</v>
      </c>
      <c r="N24" s="1" t="s">
        <v>46</v>
      </c>
      <c r="O24" s="1" t="s">
        <v>47</v>
      </c>
      <c r="P24" t="s">
        <v>65</v>
      </c>
      <c r="Q24" s="4" t="s">
        <v>287</v>
      </c>
      <c r="R24" s="2"/>
      <c r="S24" s="1" t="s">
        <v>288</v>
      </c>
      <c r="T24" s="1" t="s">
        <v>289</v>
      </c>
      <c r="U24" s="4" t="s">
        <v>290</v>
      </c>
      <c r="V24" s="4" t="s">
        <v>52</v>
      </c>
      <c r="W24" s="5" t="s">
        <v>53</v>
      </c>
      <c r="X24" s="4" t="s">
        <v>54</v>
      </c>
      <c r="Y24" s="4"/>
      <c r="Z24" s="5" t="s">
        <v>53</v>
      </c>
      <c r="AA24" s="4" t="s">
        <v>54</v>
      </c>
      <c r="AB24" s="4"/>
      <c r="AC24" s="5" t="s">
        <v>53</v>
      </c>
      <c r="AD24" s="4" t="s">
        <v>54</v>
      </c>
      <c r="AE24" s="4"/>
      <c r="AF24" s="4" t="s">
        <v>53</v>
      </c>
      <c r="AG24" s="4" t="s">
        <v>55</v>
      </c>
      <c r="AH24" s="5" t="s">
        <v>53</v>
      </c>
      <c r="AI24" s="4"/>
      <c r="AJ24" s="4"/>
    </row>
    <row r="25" ht="101.25" customHeight="1" spans="1:36" x14ac:dyDescent="0.25">
      <c r="A25" s="1" t="s">
        <v>35</v>
      </c>
      <c r="B25" s="1" t="s">
        <v>36</v>
      </c>
      <c r="C25" s="1" t="s">
        <v>269</v>
      </c>
      <c r="D25" s="1" t="s">
        <v>270</v>
      </c>
      <c r="E25" s="1">
        <f t="shared" si="0"/>
        <v>0.04</v>
      </c>
      <c r="F25" s="1" t="s">
        <v>291</v>
      </c>
      <c r="G25" s="1" t="s">
        <v>292</v>
      </c>
      <c r="H25" s="1">
        <f t="shared" si="7"/>
        <v>0.25</v>
      </c>
      <c r="I25" s="4" t="s">
        <v>293</v>
      </c>
      <c r="J25" s="4" t="s">
        <v>294</v>
      </c>
      <c r="K25" s="4" t="s">
        <v>295</v>
      </c>
      <c r="L25" s="4" t="s">
        <v>296</v>
      </c>
      <c r="M25" s="4" t="s">
        <v>297</v>
      </c>
      <c r="N25" s="1" t="s">
        <v>46</v>
      </c>
      <c r="O25" s="1" t="s">
        <v>47</v>
      </c>
      <c r="P25" t="s">
        <v>65</v>
      </c>
      <c r="Q25" s="4" t="s">
        <v>298</v>
      </c>
      <c r="R25" s="2"/>
      <c r="S25" s="1" t="s">
        <v>288</v>
      </c>
      <c r="T25" s="1" t="s">
        <v>289</v>
      </c>
      <c r="U25" s="4" t="s">
        <v>299</v>
      </c>
      <c r="V25" s="4" t="s">
        <v>52</v>
      </c>
      <c r="W25" s="5" t="s">
        <v>53</v>
      </c>
      <c r="X25" s="4" t="s">
        <v>54</v>
      </c>
      <c r="Y25" s="4"/>
      <c r="Z25" s="5" t="s">
        <v>53</v>
      </c>
      <c r="AA25" s="4" t="s">
        <v>54</v>
      </c>
      <c r="AB25" s="4"/>
      <c r="AC25" s="5" t="s">
        <v>53</v>
      </c>
      <c r="AD25" s="4" t="s">
        <v>54</v>
      </c>
      <c r="AE25" s="4"/>
      <c r="AF25" s="4" t="s">
        <v>53</v>
      </c>
      <c r="AG25" s="4" t="s">
        <v>55</v>
      </c>
      <c r="AH25" s="5" t="s">
        <v>53</v>
      </c>
      <c r="AI25" s="4"/>
      <c r="AJ25" s="4"/>
    </row>
    <row r="26" ht="101.25" customHeight="1" spans="1:36" x14ac:dyDescent="0.25">
      <c r="A26" s="1" t="s">
        <v>35</v>
      </c>
      <c r="B26" s="1" t="s">
        <v>36</v>
      </c>
      <c r="C26" s="1" t="s">
        <v>269</v>
      </c>
      <c r="D26" s="1" t="s">
        <v>270</v>
      </c>
      <c r="E26" s="1">
        <f t="shared" si="0"/>
        <v>0.04</v>
      </c>
      <c r="F26" s="1" t="s">
        <v>300</v>
      </c>
      <c r="G26" s="1" t="s">
        <v>301</v>
      </c>
      <c r="H26" s="1">
        <f t="shared" si="7"/>
        <v>0.25</v>
      </c>
      <c r="I26" s="4" t="s">
        <v>302</v>
      </c>
      <c r="J26" s="4" t="s">
        <v>303</v>
      </c>
      <c r="K26" s="4" t="s">
        <v>304</v>
      </c>
      <c r="L26" s="4" t="s">
        <v>305</v>
      </c>
      <c r="M26" s="4" t="s">
        <v>306</v>
      </c>
      <c r="N26" s="1" t="s">
        <v>46</v>
      </c>
      <c r="O26" s="1" t="s">
        <v>47</v>
      </c>
      <c r="P26" t="s">
        <v>65</v>
      </c>
      <c r="Q26" s="4" t="s">
        <v>307</v>
      </c>
      <c r="R26" s="2"/>
      <c r="S26" s="1"/>
      <c r="T26" s="1"/>
      <c r="U26" s="4" t="s">
        <v>308</v>
      </c>
      <c r="V26" s="4" t="s">
        <v>52</v>
      </c>
      <c r="W26" s="5" t="s">
        <v>53</v>
      </c>
      <c r="X26" s="4" t="s">
        <v>54</v>
      </c>
      <c r="Y26" s="4"/>
      <c r="Z26" s="5" t="s">
        <v>53</v>
      </c>
      <c r="AA26" s="4" t="s">
        <v>54</v>
      </c>
      <c r="AB26" s="4"/>
      <c r="AC26" s="5" t="s">
        <v>53</v>
      </c>
      <c r="AD26" s="4" t="s">
        <v>54</v>
      </c>
      <c r="AE26" s="4"/>
      <c r="AF26" s="4" t="s">
        <v>53</v>
      </c>
      <c r="AG26" s="4" t="s">
        <v>55</v>
      </c>
      <c r="AH26" s="5" t="s">
        <v>53</v>
      </c>
      <c r="AI26" s="4"/>
      <c r="AJ26" s="4"/>
    </row>
    <row r="27" ht="101.25" customHeight="1" spans="1:36" x14ac:dyDescent="0.25">
      <c r="A27" s="1" t="s">
        <v>35</v>
      </c>
      <c r="B27" s="1" t="s">
        <v>36</v>
      </c>
      <c r="C27" s="1" t="s">
        <v>309</v>
      </c>
      <c r="D27" s="1" t="s">
        <v>310</v>
      </c>
      <c r="E27" s="1">
        <f t="shared" si="0"/>
        <v>0.04</v>
      </c>
      <c r="F27" s="1" t="s">
        <v>311</v>
      </c>
      <c r="G27" s="1" t="s">
        <v>312</v>
      </c>
      <c r="H27" s="1">
        <f t="shared" ref="H27:H36" si="8">1/10</f>
        <v>0.1</v>
      </c>
      <c r="I27" s="4" t="s">
        <v>313</v>
      </c>
      <c r="J27" s="4" t="s">
        <v>314</v>
      </c>
      <c r="K27" s="4" t="s">
        <v>315</v>
      </c>
      <c r="L27" s="4" t="s">
        <v>316</v>
      </c>
      <c r="M27" s="4" t="s">
        <v>317</v>
      </c>
      <c r="N27" s="1" t="s">
        <v>46</v>
      </c>
      <c r="O27" s="1" t="s">
        <v>47</v>
      </c>
      <c r="P27" t="s">
        <v>65</v>
      </c>
      <c r="Q27" s="4" t="s">
        <v>318</v>
      </c>
      <c r="R27" s="2"/>
      <c r="S27" s="1"/>
      <c r="T27" s="1" t="s">
        <v>319</v>
      </c>
      <c r="U27" s="4" t="s">
        <v>320</v>
      </c>
      <c r="V27" s="4" t="s">
        <v>52</v>
      </c>
      <c r="W27" s="5" t="s">
        <v>53</v>
      </c>
      <c r="X27" s="4" t="s">
        <v>54</v>
      </c>
      <c r="Y27" s="4"/>
      <c r="Z27" s="5" t="s">
        <v>53</v>
      </c>
      <c r="AA27" s="4" t="s">
        <v>54</v>
      </c>
      <c r="AB27" s="4"/>
      <c r="AC27" s="5" t="s">
        <v>53</v>
      </c>
      <c r="AD27" s="4" t="s">
        <v>54</v>
      </c>
      <c r="AE27" s="4"/>
      <c r="AF27" s="4" t="s">
        <v>53</v>
      </c>
      <c r="AG27" s="4" t="s">
        <v>55</v>
      </c>
      <c r="AH27" s="5" t="s">
        <v>53</v>
      </c>
      <c r="AI27" s="4"/>
      <c r="AJ27" s="4"/>
    </row>
    <row r="28" ht="101.25" customHeight="1" spans="1:36" x14ac:dyDescent="0.25">
      <c r="A28" s="1" t="s">
        <v>35</v>
      </c>
      <c r="B28" s="1" t="s">
        <v>36</v>
      </c>
      <c r="C28" s="1" t="s">
        <v>309</v>
      </c>
      <c r="D28" s="1" t="s">
        <v>310</v>
      </c>
      <c r="E28" s="1">
        <f t="shared" si="0"/>
        <v>0.04</v>
      </c>
      <c r="F28" s="1" t="s">
        <v>321</v>
      </c>
      <c r="G28" s="1" t="s">
        <v>322</v>
      </c>
      <c r="H28" s="1">
        <f t="shared" si="8"/>
        <v>0.1</v>
      </c>
      <c r="I28" s="4" t="s">
        <v>323</v>
      </c>
      <c r="J28" s="4" t="s">
        <v>324</v>
      </c>
      <c r="K28" s="4" t="s">
        <v>325</v>
      </c>
      <c r="L28" s="4" t="s">
        <v>326</v>
      </c>
      <c r="M28" s="4" t="s">
        <v>327</v>
      </c>
      <c r="N28" s="1" t="s">
        <v>46</v>
      </c>
      <c r="O28" s="1" t="s">
        <v>47</v>
      </c>
      <c r="P28" t="s">
        <v>65</v>
      </c>
      <c r="Q28" s="4" t="s">
        <v>328</v>
      </c>
      <c r="R28" s="2"/>
      <c r="S28" s="1"/>
      <c r="T28" s="1"/>
      <c r="U28" s="4" t="s">
        <v>329</v>
      </c>
      <c r="V28" s="4" t="s">
        <v>52</v>
      </c>
      <c r="W28" s="4">
        <v>4</v>
      </c>
      <c r="X28" s="4" t="s">
        <v>330</v>
      </c>
      <c r="Y28" s="4" t="s">
        <v>331</v>
      </c>
      <c r="Z28" s="4">
        <v>4</v>
      </c>
      <c r="AA28" s="4" t="s">
        <v>332</v>
      </c>
      <c r="AB28" s="4" t="s">
        <v>331</v>
      </c>
      <c r="AC28" s="4">
        <v>4</v>
      </c>
      <c r="AD28" s="4" t="s">
        <v>333</v>
      </c>
      <c r="AE28" s="4" t="s">
        <v>331</v>
      </c>
      <c r="AF28" s="4" t="s">
        <v>334</v>
      </c>
      <c r="AG28" s="4" t="s">
        <v>335</v>
      </c>
      <c r="AH28" s="5" t="s">
        <v>53</v>
      </c>
      <c r="AI28" s="4"/>
      <c r="AJ28" s="4"/>
    </row>
    <row r="29" ht="101.25" customHeight="1" spans="1:36" x14ac:dyDescent="0.25">
      <c r="A29" s="1" t="s">
        <v>35</v>
      </c>
      <c r="B29" s="1" t="s">
        <v>36</v>
      </c>
      <c r="C29" s="1" t="s">
        <v>309</v>
      </c>
      <c r="D29" s="1" t="s">
        <v>310</v>
      </c>
      <c r="E29" s="1">
        <f t="shared" si="0"/>
        <v>0.04</v>
      </c>
      <c r="F29" s="1" t="s">
        <v>336</v>
      </c>
      <c r="G29" s="1" t="s">
        <v>337</v>
      </c>
      <c r="H29" s="1">
        <f t="shared" si="8"/>
        <v>0.1</v>
      </c>
      <c r="I29" s="4" t="s">
        <v>338</v>
      </c>
      <c r="J29" s="4" t="s">
        <v>339</v>
      </c>
      <c r="K29" s="4" t="s">
        <v>340</v>
      </c>
      <c r="L29" s="4" t="s">
        <v>341</v>
      </c>
      <c r="M29" s="4" t="s">
        <v>342</v>
      </c>
      <c r="N29" s="1" t="s">
        <v>46</v>
      </c>
      <c r="O29" s="1" t="s">
        <v>47</v>
      </c>
      <c r="P29" t="s">
        <v>65</v>
      </c>
      <c r="Q29" s="4" t="s">
        <v>343</v>
      </c>
      <c r="R29" s="2"/>
      <c r="S29" s="1"/>
      <c r="T29" s="1"/>
      <c r="U29" s="4" t="s">
        <v>344</v>
      </c>
      <c r="V29" s="4" t="s">
        <v>52</v>
      </c>
      <c r="W29" s="4">
        <v>4</v>
      </c>
      <c r="X29" s="4" t="s">
        <v>345</v>
      </c>
      <c r="Y29" s="4" t="s">
        <v>331</v>
      </c>
      <c r="Z29" s="4">
        <v>4</v>
      </c>
      <c r="AA29" s="4" t="s">
        <v>346</v>
      </c>
      <c r="AB29" s="4" t="s">
        <v>331</v>
      </c>
      <c r="AC29" s="5" t="s">
        <v>53</v>
      </c>
      <c r="AD29" s="4" t="s">
        <v>54</v>
      </c>
      <c r="AE29" s="4"/>
      <c r="AF29" s="4" t="s">
        <v>347</v>
      </c>
      <c r="AG29" s="4" t="s">
        <v>348</v>
      </c>
      <c r="AH29" s="5" t="s">
        <v>53</v>
      </c>
      <c r="AI29" s="4"/>
      <c r="AJ29" s="4"/>
    </row>
    <row r="30" ht="101.25" customHeight="1" spans="1:36" x14ac:dyDescent="0.25">
      <c r="A30" s="1" t="s">
        <v>35</v>
      </c>
      <c r="B30" s="1" t="s">
        <v>36</v>
      </c>
      <c r="C30" s="1" t="s">
        <v>309</v>
      </c>
      <c r="D30" s="1" t="s">
        <v>310</v>
      </c>
      <c r="E30" s="1">
        <f t="shared" si="0"/>
        <v>0.04</v>
      </c>
      <c r="F30" s="1" t="s">
        <v>349</v>
      </c>
      <c r="G30" s="1" t="s">
        <v>350</v>
      </c>
      <c r="H30" s="1">
        <f t="shared" si="8"/>
        <v>0.1</v>
      </c>
      <c r="I30" s="4" t="s">
        <v>351</v>
      </c>
      <c r="J30" s="4" t="s">
        <v>352</v>
      </c>
      <c r="K30" s="4" t="s">
        <v>353</v>
      </c>
      <c r="L30" s="4" t="s">
        <v>354</v>
      </c>
      <c r="M30" s="4" t="s">
        <v>355</v>
      </c>
      <c r="N30" s="1" t="s">
        <v>46</v>
      </c>
      <c r="O30" s="1" t="s">
        <v>47</v>
      </c>
      <c r="P30" t="s">
        <v>65</v>
      </c>
      <c r="Q30" s="4" t="s">
        <v>356</v>
      </c>
      <c r="R30" s="2"/>
      <c r="S30" s="1"/>
      <c r="T30" s="1"/>
      <c r="U30" s="4" t="s">
        <v>357</v>
      </c>
      <c r="V30" s="4" t="s">
        <v>52</v>
      </c>
      <c r="W30" s="5" t="s">
        <v>53</v>
      </c>
      <c r="X30" s="4" t="s">
        <v>54</v>
      </c>
      <c r="Y30" s="4"/>
      <c r="Z30" s="5" t="s">
        <v>53</v>
      </c>
      <c r="AA30" s="4" t="s">
        <v>54</v>
      </c>
      <c r="AB30" s="4"/>
      <c r="AC30" s="5" t="s">
        <v>53</v>
      </c>
      <c r="AD30" s="4" t="s">
        <v>54</v>
      </c>
      <c r="AE30" s="4"/>
      <c r="AF30" s="4" t="s">
        <v>53</v>
      </c>
      <c r="AG30" s="4" t="s">
        <v>55</v>
      </c>
      <c r="AH30" s="5" t="s">
        <v>53</v>
      </c>
      <c r="AI30" s="4"/>
      <c r="AJ30" s="4"/>
    </row>
    <row r="31" ht="139.5" customHeight="1" spans="1:36" x14ac:dyDescent="0.25">
      <c r="A31" s="1" t="s">
        <v>35</v>
      </c>
      <c r="B31" s="1" t="s">
        <v>36</v>
      </c>
      <c r="C31" s="1" t="s">
        <v>309</v>
      </c>
      <c r="D31" s="1" t="s">
        <v>310</v>
      </c>
      <c r="E31" s="1">
        <f t="shared" si="0"/>
        <v>0.04</v>
      </c>
      <c r="F31" s="1" t="s">
        <v>358</v>
      </c>
      <c r="G31" s="1" t="s">
        <v>359</v>
      </c>
      <c r="H31" s="1">
        <f t="shared" si="8"/>
        <v>0.1</v>
      </c>
      <c r="I31" s="4" t="s">
        <v>360</v>
      </c>
      <c r="J31" s="4" t="s">
        <v>361</v>
      </c>
      <c r="K31" s="4" t="s">
        <v>362</v>
      </c>
      <c r="L31" s="4" t="s">
        <v>363</v>
      </c>
      <c r="M31" s="4" t="s">
        <v>364</v>
      </c>
      <c r="N31" s="1" t="s">
        <v>46</v>
      </c>
      <c r="O31" s="1" t="s">
        <v>47</v>
      </c>
      <c r="P31" t="s">
        <v>65</v>
      </c>
      <c r="Q31" s="4" t="s">
        <v>365</v>
      </c>
      <c r="R31" s="2"/>
      <c r="S31" s="1"/>
      <c r="T31" s="1"/>
      <c r="U31" s="4" t="s">
        <v>366</v>
      </c>
      <c r="V31" s="4" t="s">
        <v>52</v>
      </c>
      <c r="W31" s="5" t="s">
        <v>53</v>
      </c>
      <c r="X31" s="4" t="s">
        <v>54</v>
      </c>
      <c r="Y31" s="4"/>
      <c r="Z31" s="5" t="s">
        <v>53</v>
      </c>
      <c r="AA31" s="4" t="s">
        <v>54</v>
      </c>
      <c r="AB31" s="4"/>
      <c r="AC31" s="5" t="s">
        <v>53</v>
      </c>
      <c r="AD31" s="4" t="s">
        <v>54</v>
      </c>
      <c r="AE31" s="4"/>
      <c r="AF31" s="4" t="s">
        <v>53</v>
      </c>
      <c r="AG31" s="4" t="s">
        <v>55</v>
      </c>
      <c r="AH31" s="5" t="s">
        <v>53</v>
      </c>
      <c r="AI31" s="4"/>
      <c r="AJ31" s="4"/>
    </row>
    <row r="32" ht="109.5" customHeight="1" spans="1:36" x14ac:dyDescent="0.25">
      <c r="A32" s="1" t="s">
        <v>35</v>
      </c>
      <c r="B32" s="1" t="s">
        <v>36</v>
      </c>
      <c r="C32" s="1" t="s">
        <v>309</v>
      </c>
      <c r="D32" s="1" t="s">
        <v>310</v>
      </c>
      <c r="E32" s="1">
        <f t="shared" si="0"/>
        <v>0.04</v>
      </c>
      <c r="F32" s="1" t="s">
        <v>367</v>
      </c>
      <c r="G32" s="1" t="s">
        <v>368</v>
      </c>
      <c r="H32" s="1">
        <f t="shared" si="8"/>
        <v>0.1</v>
      </c>
      <c r="I32" s="4" t="s">
        <v>369</v>
      </c>
      <c r="J32" s="4" t="s">
        <v>370</v>
      </c>
      <c r="K32" s="4" t="s">
        <v>371</v>
      </c>
      <c r="L32" s="4" t="s">
        <v>372</v>
      </c>
      <c r="M32" s="4" t="s">
        <v>373</v>
      </c>
      <c r="N32" s="1" t="s">
        <v>46</v>
      </c>
      <c r="O32" s="1" t="s">
        <v>47</v>
      </c>
      <c r="P32" t="s">
        <v>65</v>
      </c>
      <c r="Q32" s="4" t="s">
        <v>374</v>
      </c>
      <c r="R32" s="2"/>
      <c r="S32" s="1"/>
      <c r="T32" s="1"/>
      <c r="U32" s="4" t="s">
        <v>375</v>
      </c>
      <c r="V32" s="4" t="s">
        <v>52</v>
      </c>
      <c r="W32" s="4">
        <v>3</v>
      </c>
      <c r="X32" s="4" t="s">
        <v>376</v>
      </c>
      <c r="Y32" s="4" t="s">
        <v>377</v>
      </c>
      <c r="Z32" s="4">
        <v>3</v>
      </c>
      <c r="AA32" s="4" t="s">
        <v>378</v>
      </c>
      <c r="AB32" s="4" t="s">
        <v>377</v>
      </c>
      <c r="AC32" s="5" t="s">
        <v>53</v>
      </c>
      <c r="AD32" s="4" t="s">
        <v>54</v>
      </c>
      <c r="AE32" s="4"/>
      <c r="AF32" s="4" t="s">
        <v>379</v>
      </c>
      <c r="AG32" s="4" t="s">
        <v>380</v>
      </c>
      <c r="AH32" s="5" t="s">
        <v>53</v>
      </c>
      <c r="AI32" s="4"/>
      <c r="AJ32" s="4"/>
    </row>
    <row r="33" ht="101.25" customHeight="1" spans="1:36" x14ac:dyDescent="0.25">
      <c r="A33" s="1" t="s">
        <v>35</v>
      </c>
      <c r="B33" s="1" t="s">
        <v>36</v>
      </c>
      <c r="C33" s="1" t="s">
        <v>309</v>
      </c>
      <c r="D33" s="1" t="s">
        <v>310</v>
      </c>
      <c r="E33" s="1">
        <f t="shared" si="0"/>
        <v>0.04</v>
      </c>
      <c r="F33" s="1" t="s">
        <v>381</v>
      </c>
      <c r="G33" s="1" t="s">
        <v>382</v>
      </c>
      <c r="H33" s="1">
        <f t="shared" si="8"/>
        <v>0.1</v>
      </c>
      <c r="I33" s="4" t="s">
        <v>383</v>
      </c>
      <c r="J33" s="4" t="s">
        <v>384</v>
      </c>
      <c r="K33" s="4" t="s">
        <v>385</v>
      </c>
      <c r="L33" s="4" t="s">
        <v>386</v>
      </c>
      <c r="M33" s="4" t="s">
        <v>387</v>
      </c>
      <c r="N33" s="1" t="s">
        <v>46</v>
      </c>
      <c r="O33" s="1" t="s">
        <v>47</v>
      </c>
      <c r="P33" t="s">
        <v>65</v>
      </c>
      <c r="Q33" s="4" t="s">
        <v>388</v>
      </c>
      <c r="R33" s="2"/>
      <c r="S33" s="1"/>
      <c r="T33" s="1" t="s">
        <v>319</v>
      </c>
      <c r="U33" s="4" t="s">
        <v>389</v>
      </c>
      <c r="V33" s="4" t="s">
        <v>52</v>
      </c>
      <c r="W33" s="5" t="s">
        <v>53</v>
      </c>
      <c r="X33" s="4" t="s">
        <v>54</v>
      </c>
      <c r="Y33" s="4"/>
      <c r="Z33" s="5" t="s">
        <v>53</v>
      </c>
      <c r="AA33" s="4" t="s">
        <v>54</v>
      </c>
      <c r="AB33" s="4"/>
      <c r="AC33" s="5" t="s">
        <v>53</v>
      </c>
      <c r="AD33" s="4" t="s">
        <v>54</v>
      </c>
      <c r="AE33" s="4"/>
      <c r="AF33" s="4" t="s">
        <v>53</v>
      </c>
      <c r="AG33" s="4" t="s">
        <v>55</v>
      </c>
      <c r="AH33" s="5" t="s">
        <v>53</v>
      </c>
      <c r="AI33" s="4"/>
      <c r="AJ33" s="4"/>
    </row>
    <row r="34" ht="101.25" customHeight="1" spans="1:36" x14ac:dyDescent="0.25">
      <c r="A34" s="1" t="s">
        <v>35</v>
      </c>
      <c r="B34" s="1" t="s">
        <v>36</v>
      </c>
      <c r="C34" s="1" t="s">
        <v>309</v>
      </c>
      <c r="D34" s="1" t="s">
        <v>310</v>
      </c>
      <c r="E34" s="1">
        <f t="shared" si="0"/>
        <v>0.04</v>
      </c>
      <c r="F34" s="1" t="s">
        <v>390</v>
      </c>
      <c r="G34" s="1" t="s">
        <v>391</v>
      </c>
      <c r="H34" s="1">
        <f t="shared" si="8"/>
        <v>0.1</v>
      </c>
      <c r="I34" s="4" t="s">
        <v>392</v>
      </c>
      <c r="J34" s="4" t="s">
        <v>393</v>
      </c>
      <c r="K34" s="4" t="s">
        <v>394</v>
      </c>
      <c r="L34" s="4" t="s">
        <v>395</v>
      </c>
      <c r="M34" s="4" t="s">
        <v>396</v>
      </c>
      <c r="N34" s="1" t="s">
        <v>46</v>
      </c>
      <c r="O34" s="1" t="s">
        <v>47</v>
      </c>
      <c r="P34" t="s">
        <v>65</v>
      </c>
      <c r="Q34" s="4" t="s">
        <v>397</v>
      </c>
      <c r="R34" s="2"/>
      <c r="S34" s="1"/>
      <c r="T34" s="1"/>
      <c r="U34" s="4" t="s">
        <v>398</v>
      </c>
      <c r="V34" s="4" t="s">
        <v>52</v>
      </c>
      <c r="W34" s="5" t="s">
        <v>53</v>
      </c>
      <c r="X34" s="4" t="s">
        <v>54</v>
      </c>
      <c r="Y34" s="4"/>
      <c r="Z34" s="5" t="s">
        <v>53</v>
      </c>
      <c r="AA34" s="4" t="s">
        <v>54</v>
      </c>
      <c r="AB34" s="4"/>
      <c r="AC34" s="5" t="s">
        <v>53</v>
      </c>
      <c r="AD34" s="4" t="s">
        <v>54</v>
      </c>
      <c r="AE34" s="4"/>
      <c r="AF34" s="4" t="s">
        <v>53</v>
      </c>
      <c r="AG34" s="4" t="s">
        <v>55</v>
      </c>
      <c r="AH34" s="5" t="s">
        <v>53</v>
      </c>
      <c r="AI34" s="4"/>
      <c r="AJ34" s="4"/>
    </row>
    <row r="35" ht="101.25" customHeight="1" spans="1:36" x14ac:dyDescent="0.25">
      <c r="A35" s="1" t="s">
        <v>35</v>
      </c>
      <c r="B35" s="1" t="s">
        <v>36</v>
      </c>
      <c r="C35" s="1" t="s">
        <v>309</v>
      </c>
      <c r="D35" s="1" t="s">
        <v>310</v>
      </c>
      <c r="E35" s="1">
        <f t="shared" si="0"/>
        <v>0.04</v>
      </c>
      <c r="F35" s="1" t="s">
        <v>399</v>
      </c>
      <c r="G35" s="1" t="s">
        <v>400</v>
      </c>
      <c r="H35" s="1">
        <f t="shared" si="8"/>
        <v>0.1</v>
      </c>
      <c r="I35" s="4" t="s">
        <v>401</v>
      </c>
      <c r="J35" s="4" t="s">
        <v>402</v>
      </c>
      <c r="K35" s="4" t="s">
        <v>403</v>
      </c>
      <c r="L35" s="4" t="s">
        <v>404</v>
      </c>
      <c r="M35" s="4" t="s">
        <v>405</v>
      </c>
      <c r="N35" s="1" t="s">
        <v>46</v>
      </c>
      <c r="O35" s="1" t="s">
        <v>47</v>
      </c>
      <c r="P35" t="s">
        <v>65</v>
      </c>
      <c r="Q35" s="4" t="s">
        <v>406</v>
      </c>
      <c r="R35" s="2"/>
      <c r="S35" s="1"/>
      <c r="T35" s="1"/>
      <c r="U35" s="4" t="s">
        <v>407</v>
      </c>
      <c r="V35" s="4" t="s">
        <v>52</v>
      </c>
      <c r="W35" s="5" t="s">
        <v>53</v>
      </c>
      <c r="X35" s="5" t="s">
        <v>53</v>
      </c>
      <c r="Y35" s="5" t="s">
        <v>53</v>
      </c>
      <c r="Z35" s="5" t="s">
        <v>53</v>
      </c>
      <c r="AA35" s="5" t="s">
        <v>53</v>
      </c>
      <c r="AB35" s="5" t="s">
        <v>53</v>
      </c>
      <c r="AC35" s="5" t="s">
        <v>53</v>
      </c>
      <c r="AD35" s="5" t="s">
        <v>53</v>
      </c>
      <c r="AE35" s="5" t="s">
        <v>53</v>
      </c>
      <c r="AF35" s="4" t="s">
        <v>53</v>
      </c>
      <c r="AG35" s="4" t="s">
        <v>53</v>
      </c>
      <c r="AH35" s="5" t="s">
        <v>53</v>
      </c>
      <c r="AI35" s="5" t="s">
        <v>53</v>
      </c>
      <c r="AJ35" s="5" t="s">
        <v>53</v>
      </c>
    </row>
    <row r="36" ht="101.25" customHeight="1" spans="1:36" x14ac:dyDescent="0.25">
      <c r="A36" s="1" t="s">
        <v>35</v>
      </c>
      <c r="B36" s="1" t="s">
        <v>36</v>
      </c>
      <c r="C36" s="1" t="s">
        <v>309</v>
      </c>
      <c r="D36" s="1" t="s">
        <v>310</v>
      </c>
      <c r="E36" s="1">
        <f t="shared" si="0"/>
        <v>0.04</v>
      </c>
      <c r="F36" s="1" t="s">
        <v>408</v>
      </c>
      <c r="G36" s="1" t="s">
        <v>409</v>
      </c>
      <c r="H36" s="1">
        <f t="shared" si="8"/>
        <v>0.1</v>
      </c>
      <c r="I36" s="4" t="s">
        <v>410</v>
      </c>
      <c r="J36" s="4" t="s">
        <v>411</v>
      </c>
      <c r="K36" s="4" t="s">
        <v>412</v>
      </c>
      <c r="L36" s="4" t="s">
        <v>413</v>
      </c>
      <c r="M36" s="4" t="s">
        <v>414</v>
      </c>
      <c r="N36" s="1" t="s">
        <v>46</v>
      </c>
      <c r="O36" s="1" t="s">
        <v>47</v>
      </c>
      <c r="P36" t="s">
        <v>65</v>
      </c>
      <c r="Q36" s="4" t="s">
        <v>415</v>
      </c>
      <c r="R36" s="2"/>
      <c r="S36" s="1"/>
      <c r="T36" s="1"/>
      <c r="U36" s="4" t="s">
        <v>416</v>
      </c>
      <c r="V36" s="4" t="s">
        <v>52</v>
      </c>
      <c r="W36" s="5" t="s">
        <v>53</v>
      </c>
      <c r="X36" s="5" t="s">
        <v>53</v>
      </c>
      <c r="Y36" s="5" t="s">
        <v>53</v>
      </c>
      <c r="Z36" s="5" t="s">
        <v>53</v>
      </c>
      <c r="AA36" s="5" t="s">
        <v>53</v>
      </c>
      <c r="AB36" s="5" t="s">
        <v>53</v>
      </c>
      <c r="AC36" s="5" t="s">
        <v>53</v>
      </c>
      <c r="AD36" s="5" t="s">
        <v>53</v>
      </c>
      <c r="AE36" s="5" t="s">
        <v>53</v>
      </c>
      <c r="AF36" s="4" t="s">
        <v>53</v>
      </c>
      <c r="AG36" s="4" t="s">
        <v>53</v>
      </c>
      <c r="AH36" s="5" t="s">
        <v>53</v>
      </c>
      <c r="AI36" s="5" t="s">
        <v>53</v>
      </c>
      <c r="AJ36" s="5" t="s">
        <v>53</v>
      </c>
    </row>
    <row r="37" ht="101.25" customHeight="1" spans="1:36" x14ac:dyDescent="0.25">
      <c r="A37" s="1" t="s">
        <v>35</v>
      </c>
      <c r="B37" s="1" t="s">
        <v>36</v>
      </c>
      <c r="C37" s="1" t="s">
        <v>417</v>
      </c>
      <c r="D37" s="1" t="s">
        <v>418</v>
      </c>
      <c r="E37" s="1">
        <f t="shared" si="0"/>
        <v>0.04</v>
      </c>
      <c r="F37" s="1" t="s">
        <v>419</v>
      </c>
      <c r="G37" s="1" t="s">
        <v>420</v>
      </c>
      <c r="H37" s="1">
        <f t="shared" ref="H37:H40" si="9">1/4</f>
        <v>0.25</v>
      </c>
      <c r="I37" s="4" t="s">
        <v>421</v>
      </c>
      <c r="J37" s="4" t="s">
        <v>422</v>
      </c>
      <c r="K37" s="4" t="s">
        <v>423</v>
      </c>
      <c r="L37" s="4" t="s">
        <v>424</v>
      </c>
      <c r="M37" s="4" t="s">
        <v>425</v>
      </c>
      <c r="N37" s="1" t="s">
        <v>46</v>
      </c>
      <c r="O37" s="1" t="s">
        <v>47</v>
      </c>
      <c r="P37" t="s">
        <v>65</v>
      </c>
      <c r="Q37" s="4" t="s">
        <v>426</v>
      </c>
      <c r="R37" s="2"/>
      <c r="S37" s="1"/>
      <c r="T37" s="1"/>
      <c r="U37" s="4" t="s">
        <v>427</v>
      </c>
      <c r="V37" s="4" t="s">
        <v>52</v>
      </c>
      <c r="W37" s="5" t="s">
        <v>53</v>
      </c>
      <c r="X37" s="5" t="s">
        <v>53</v>
      </c>
      <c r="Y37" s="5" t="s">
        <v>53</v>
      </c>
      <c r="Z37" s="5" t="s">
        <v>53</v>
      </c>
      <c r="AA37" s="5" t="s">
        <v>53</v>
      </c>
      <c r="AB37" s="5" t="s">
        <v>53</v>
      </c>
      <c r="AC37" s="5" t="s">
        <v>53</v>
      </c>
      <c r="AD37" s="5" t="s">
        <v>53</v>
      </c>
      <c r="AE37" s="5" t="s">
        <v>53</v>
      </c>
      <c r="AF37" s="4" t="s">
        <v>53</v>
      </c>
      <c r="AG37" s="4" t="s">
        <v>53</v>
      </c>
      <c r="AH37" s="5" t="s">
        <v>53</v>
      </c>
      <c r="AI37" s="5" t="s">
        <v>53</v>
      </c>
      <c r="AJ37" s="5" t="s">
        <v>53</v>
      </c>
    </row>
    <row r="38" ht="101.25" customHeight="1" spans="1:36" x14ac:dyDescent="0.25">
      <c r="A38" s="1" t="s">
        <v>35</v>
      </c>
      <c r="B38" s="1" t="s">
        <v>36</v>
      </c>
      <c r="C38" s="1" t="s">
        <v>417</v>
      </c>
      <c r="D38" s="1" t="s">
        <v>418</v>
      </c>
      <c r="E38" s="1">
        <f t="shared" si="0"/>
        <v>0.04</v>
      </c>
      <c r="F38" s="1" t="s">
        <v>428</v>
      </c>
      <c r="G38" s="1" t="s">
        <v>429</v>
      </c>
      <c r="H38" s="1">
        <f t="shared" si="9"/>
        <v>0.25</v>
      </c>
      <c r="I38" s="4" t="s">
        <v>430</v>
      </c>
      <c r="J38" s="4" t="s">
        <v>431</v>
      </c>
      <c r="K38" s="4" t="s">
        <v>432</v>
      </c>
      <c r="L38" s="4" t="s">
        <v>433</v>
      </c>
      <c r="M38" s="4" t="s">
        <v>434</v>
      </c>
      <c r="N38" s="1" t="s">
        <v>46</v>
      </c>
      <c r="O38" s="1" t="s">
        <v>47</v>
      </c>
      <c r="P38" t="s">
        <v>65</v>
      </c>
      <c r="Q38" s="4" t="s">
        <v>435</v>
      </c>
      <c r="R38" s="2"/>
      <c r="S38" s="1"/>
      <c r="T38" s="1"/>
      <c r="U38" s="4" t="s">
        <v>436</v>
      </c>
      <c r="V38" s="4" t="s">
        <v>52</v>
      </c>
      <c r="W38" s="5" t="s">
        <v>53</v>
      </c>
      <c r="X38" s="5" t="s">
        <v>53</v>
      </c>
      <c r="Y38" s="5" t="s">
        <v>53</v>
      </c>
      <c r="Z38" s="5" t="s">
        <v>53</v>
      </c>
      <c r="AA38" s="5" t="s">
        <v>53</v>
      </c>
      <c r="AB38" s="5" t="s">
        <v>53</v>
      </c>
      <c r="AC38" s="5" t="s">
        <v>53</v>
      </c>
      <c r="AD38" s="5" t="s">
        <v>53</v>
      </c>
      <c r="AE38" s="5" t="s">
        <v>53</v>
      </c>
      <c r="AF38" s="4" t="s">
        <v>53</v>
      </c>
      <c r="AG38" s="4" t="s">
        <v>53</v>
      </c>
      <c r="AH38" s="5" t="s">
        <v>53</v>
      </c>
      <c r="AI38" s="5" t="s">
        <v>53</v>
      </c>
      <c r="AJ38" s="5" t="s">
        <v>53</v>
      </c>
    </row>
    <row r="39" ht="101.25" customHeight="1" spans="1:36" x14ac:dyDescent="0.25">
      <c r="A39" s="1" t="s">
        <v>35</v>
      </c>
      <c r="B39" s="1" t="s">
        <v>36</v>
      </c>
      <c r="C39" s="1" t="s">
        <v>417</v>
      </c>
      <c r="D39" s="1" t="s">
        <v>418</v>
      </c>
      <c r="E39" s="1">
        <f t="shared" si="0"/>
        <v>0.04</v>
      </c>
      <c r="F39" s="1" t="s">
        <v>437</v>
      </c>
      <c r="G39" s="1" t="s">
        <v>438</v>
      </c>
      <c r="H39" s="1">
        <f t="shared" si="9"/>
        <v>0.25</v>
      </c>
      <c r="I39" s="4" t="s">
        <v>439</v>
      </c>
      <c r="J39" s="4" t="s">
        <v>440</v>
      </c>
      <c r="K39" s="4" t="s">
        <v>441</v>
      </c>
      <c r="L39" s="4" t="s">
        <v>442</v>
      </c>
      <c r="M39" s="4" t="s">
        <v>443</v>
      </c>
      <c r="N39" s="1" t="s">
        <v>46</v>
      </c>
      <c r="O39" s="1" t="s">
        <v>47</v>
      </c>
      <c r="P39" t="s">
        <v>65</v>
      </c>
      <c r="Q39" s="4" t="s">
        <v>444</v>
      </c>
      <c r="R39" s="2"/>
      <c r="S39" s="1"/>
      <c r="T39" s="1"/>
      <c r="U39" s="4" t="s">
        <v>445</v>
      </c>
      <c r="V39" s="4" t="s">
        <v>52</v>
      </c>
      <c r="W39" s="5" t="s">
        <v>53</v>
      </c>
      <c r="X39" s="5" t="s">
        <v>53</v>
      </c>
      <c r="Y39" s="5" t="s">
        <v>53</v>
      </c>
      <c r="Z39" s="5" t="s">
        <v>53</v>
      </c>
      <c r="AA39" s="5" t="s">
        <v>53</v>
      </c>
      <c r="AB39" s="5" t="s">
        <v>53</v>
      </c>
      <c r="AC39" s="5" t="s">
        <v>53</v>
      </c>
      <c r="AD39" s="5" t="s">
        <v>53</v>
      </c>
      <c r="AE39" s="5" t="s">
        <v>53</v>
      </c>
      <c r="AF39" s="4" t="s">
        <v>53</v>
      </c>
      <c r="AG39" s="4" t="s">
        <v>53</v>
      </c>
      <c r="AH39" s="5" t="s">
        <v>53</v>
      </c>
      <c r="AI39" s="5" t="s">
        <v>53</v>
      </c>
      <c r="AJ39" s="5" t="s">
        <v>53</v>
      </c>
    </row>
    <row r="40" ht="101.25" customHeight="1" spans="1:36" x14ac:dyDescent="0.25">
      <c r="A40" s="1" t="s">
        <v>35</v>
      </c>
      <c r="B40" s="1" t="s">
        <v>36</v>
      </c>
      <c r="C40" s="1" t="s">
        <v>417</v>
      </c>
      <c r="D40" s="1" t="s">
        <v>418</v>
      </c>
      <c r="E40" s="1">
        <f t="shared" si="0"/>
        <v>0.04</v>
      </c>
      <c r="F40" s="1" t="s">
        <v>446</v>
      </c>
      <c r="G40" s="1" t="s">
        <v>447</v>
      </c>
      <c r="H40" s="1">
        <f t="shared" si="9"/>
        <v>0.25</v>
      </c>
      <c r="I40" s="4" t="s">
        <v>448</v>
      </c>
      <c r="J40" s="4" t="s">
        <v>449</v>
      </c>
      <c r="K40" s="4" t="s">
        <v>450</v>
      </c>
      <c r="L40" s="4" t="s">
        <v>451</v>
      </c>
      <c r="M40" s="4" t="s">
        <v>452</v>
      </c>
      <c r="N40" s="1" t="s">
        <v>46</v>
      </c>
      <c r="O40" s="1" t="s">
        <v>47</v>
      </c>
      <c r="P40" t="s">
        <v>65</v>
      </c>
      <c r="Q40" s="4" t="s">
        <v>453</v>
      </c>
      <c r="R40" s="2"/>
      <c r="S40" s="1"/>
      <c r="T40" s="1"/>
      <c r="U40" s="4" t="s">
        <v>454</v>
      </c>
      <c r="V40" s="4" t="s">
        <v>52</v>
      </c>
      <c r="W40" s="5" t="s">
        <v>53</v>
      </c>
      <c r="X40" s="5" t="s">
        <v>53</v>
      </c>
      <c r="Y40" s="5" t="s">
        <v>53</v>
      </c>
      <c r="Z40" s="5" t="s">
        <v>53</v>
      </c>
      <c r="AA40" s="5" t="s">
        <v>53</v>
      </c>
      <c r="AB40" s="5" t="s">
        <v>53</v>
      </c>
      <c r="AC40" s="5" t="s">
        <v>53</v>
      </c>
      <c r="AD40" s="5" t="s">
        <v>53</v>
      </c>
      <c r="AE40" s="5" t="s">
        <v>53</v>
      </c>
      <c r="AF40" s="4" t="s">
        <v>53</v>
      </c>
      <c r="AG40" s="4" t="s">
        <v>53</v>
      </c>
      <c r="AH40" s="5" t="s">
        <v>53</v>
      </c>
      <c r="AI40" s="5" t="s">
        <v>53</v>
      </c>
      <c r="AJ40" s="5" t="s">
        <v>53</v>
      </c>
    </row>
    <row r="41" ht="101.25" customHeight="1" spans="1:36" x14ac:dyDescent="0.25">
      <c r="A41" s="1" t="s">
        <v>35</v>
      </c>
      <c r="B41" s="1" t="s">
        <v>36</v>
      </c>
      <c r="C41" s="1" t="s">
        <v>455</v>
      </c>
      <c r="D41" s="1" t="s">
        <v>456</v>
      </c>
      <c r="E41" s="1">
        <f t="shared" si="0"/>
        <v>0.04</v>
      </c>
      <c r="F41" s="1" t="s">
        <v>457</v>
      </c>
      <c r="G41" s="1" t="s">
        <v>458</v>
      </c>
      <c r="H41" s="1">
        <f t="shared" ref="H41:H54" si="10">1/14</f>
        <v>0.07142857143</v>
      </c>
      <c r="I41" s="4" t="s">
        <v>459</v>
      </c>
      <c r="J41" s="4" t="s">
        <v>460</v>
      </c>
      <c r="K41" s="4" t="s">
        <v>461</v>
      </c>
      <c r="L41" s="4" t="s">
        <v>462</v>
      </c>
      <c r="M41" s="4" t="s">
        <v>463</v>
      </c>
      <c r="N41" s="1" t="s">
        <v>46</v>
      </c>
      <c r="O41" s="1" t="s">
        <v>47</v>
      </c>
      <c r="P41" t="s">
        <v>65</v>
      </c>
      <c r="Q41" s="4" t="s">
        <v>464</v>
      </c>
      <c r="R41" s="2"/>
      <c r="S41" s="1"/>
      <c r="T41" s="1" t="s">
        <v>319</v>
      </c>
      <c r="U41" s="4" t="s">
        <v>465</v>
      </c>
      <c r="V41" s="4" t="s">
        <v>52</v>
      </c>
      <c r="W41" s="5" t="s">
        <v>53</v>
      </c>
      <c r="X41" s="4" t="s">
        <v>54</v>
      </c>
      <c r="Y41" s="4"/>
      <c r="Z41" s="5" t="s">
        <v>53</v>
      </c>
      <c r="AA41" s="4" t="s">
        <v>54</v>
      </c>
      <c r="AB41" s="4"/>
      <c r="AC41" s="5" t="s">
        <v>53</v>
      </c>
      <c r="AD41" s="4" t="s">
        <v>54</v>
      </c>
      <c r="AE41" s="4"/>
      <c r="AF41" s="4" t="s">
        <v>53</v>
      </c>
      <c r="AG41" s="4" t="s">
        <v>55</v>
      </c>
      <c r="AH41" s="5" t="s">
        <v>53</v>
      </c>
      <c r="AI41" s="4"/>
      <c r="AJ41" s="4"/>
    </row>
    <row r="42" ht="101.25" customHeight="1" spans="1:36" x14ac:dyDescent="0.25">
      <c r="A42" s="1" t="s">
        <v>35</v>
      </c>
      <c r="B42" s="1" t="s">
        <v>36</v>
      </c>
      <c r="C42" s="1" t="s">
        <v>455</v>
      </c>
      <c r="D42" s="1" t="s">
        <v>456</v>
      </c>
      <c r="E42" s="1">
        <f t="shared" si="0"/>
        <v>0.04</v>
      </c>
      <c r="F42" s="1" t="s">
        <v>466</v>
      </c>
      <c r="G42" s="1" t="s">
        <v>467</v>
      </c>
      <c r="H42" s="1">
        <f t="shared" si="10"/>
        <v>0.07142857143</v>
      </c>
      <c r="I42" s="4" t="s">
        <v>468</v>
      </c>
      <c r="J42" s="4" t="s">
        <v>469</v>
      </c>
      <c r="K42" s="4" t="s">
        <v>470</v>
      </c>
      <c r="L42" s="4" t="s">
        <v>471</v>
      </c>
      <c r="M42" s="4" t="s">
        <v>472</v>
      </c>
      <c r="N42" s="1" t="s">
        <v>46</v>
      </c>
      <c r="O42" s="1" t="s">
        <v>47</v>
      </c>
      <c r="P42" t="s">
        <v>65</v>
      </c>
      <c r="Q42" s="4" t="s">
        <v>473</v>
      </c>
      <c r="R42" s="2"/>
      <c r="S42" s="1"/>
      <c r="T42" s="1" t="s">
        <v>319</v>
      </c>
      <c r="U42" s="4" t="s">
        <v>474</v>
      </c>
      <c r="V42" s="4" t="s">
        <v>52</v>
      </c>
      <c r="W42" s="5" t="s">
        <v>53</v>
      </c>
      <c r="X42" s="4" t="s">
        <v>54</v>
      </c>
      <c r="Y42" s="4"/>
      <c r="Z42" s="5" t="s">
        <v>53</v>
      </c>
      <c r="AA42" s="4" t="s">
        <v>54</v>
      </c>
      <c r="AB42" s="4"/>
      <c r="AC42" s="5" t="s">
        <v>53</v>
      </c>
      <c r="AD42" s="4" t="s">
        <v>54</v>
      </c>
      <c r="AE42" s="4"/>
      <c r="AF42" s="4" t="s">
        <v>53</v>
      </c>
      <c r="AG42" s="4" t="s">
        <v>55</v>
      </c>
      <c r="AH42" s="5" t="s">
        <v>53</v>
      </c>
      <c r="AI42" s="4"/>
      <c r="AJ42" s="4"/>
    </row>
    <row r="43" ht="154.5" customHeight="1" spans="1:36" x14ac:dyDescent="0.25">
      <c r="A43" s="1" t="s">
        <v>35</v>
      </c>
      <c r="B43" s="1" t="s">
        <v>36</v>
      </c>
      <c r="C43" s="1" t="s">
        <v>455</v>
      </c>
      <c r="D43" s="1" t="s">
        <v>456</v>
      </c>
      <c r="E43" s="1">
        <f t="shared" si="0"/>
        <v>0.04</v>
      </c>
      <c r="F43" s="1" t="s">
        <v>475</v>
      </c>
      <c r="G43" s="1" t="s">
        <v>476</v>
      </c>
      <c r="H43" s="1">
        <f t="shared" si="10"/>
        <v>0.07142857143</v>
      </c>
      <c r="I43" s="4" t="s">
        <v>477</v>
      </c>
      <c r="J43" s="4" t="s">
        <v>478</v>
      </c>
      <c r="K43" s="4" t="s">
        <v>479</v>
      </c>
      <c r="L43" s="4" t="s">
        <v>480</v>
      </c>
      <c r="M43" s="4" t="s">
        <v>481</v>
      </c>
      <c r="N43" s="1" t="s">
        <v>46</v>
      </c>
      <c r="O43" s="1" t="s">
        <v>47</v>
      </c>
      <c r="P43" t="s">
        <v>65</v>
      </c>
      <c r="Q43" s="4" t="s">
        <v>482</v>
      </c>
      <c r="R43" s="2"/>
      <c r="S43" s="1"/>
      <c r="T43" s="1"/>
      <c r="U43" s="4" t="s">
        <v>483</v>
      </c>
      <c r="V43" s="4" t="s">
        <v>52</v>
      </c>
      <c r="W43" s="5" t="s">
        <v>53</v>
      </c>
      <c r="X43" s="4" t="s">
        <v>54</v>
      </c>
      <c r="Y43" s="4"/>
      <c r="Z43" s="5" t="s">
        <v>53</v>
      </c>
      <c r="AA43" s="4" t="s">
        <v>54</v>
      </c>
      <c r="AB43" s="4"/>
      <c r="AC43" s="5" t="s">
        <v>53</v>
      </c>
      <c r="AD43" s="4" t="s">
        <v>54</v>
      </c>
      <c r="AE43" s="4"/>
      <c r="AF43" s="4" t="s">
        <v>53</v>
      </c>
      <c r="AG43" s="4" t="s">
        <v>55</v>
      </c>
      <c r="AH43" s="5" t="s">
        <v>53</v>
      </c>
      <c r="AI43" s="4"/>
      <c r="AJ43" s="4"/>
    </row>
    <row r="44" ht="109.5" customHeight="1" spans="1:36" x14ac:dyDescent="0.25">
      <c r="A44" s="1" t="s">
        <v>35</v>
      </c>
      <c r="B44" s="1" t="s">
        <v>36</v>
      </c>
      <c r="C44" s="1" t="s">
        <v>455</v>
      </c>
      <c r="D44" s="1" t="s">
        <v>456</v>
      </c>
      <c r="E44" s="1">
        <f t="shared" si="0"/>
        <v>0.04</v>
      </c>
      <c r="F44" s="1" t="s">
        <v>484</v>
      </c>
      <c r="G44" s="1" t="s">
        <v>485</v>
      </c>
      <c r="H44" s="1">
        <f t="shared" si="10"/>
        <v>0.07142857143</v>
      </c>
      <c r="I44" s="4" t="s">
        <v>486</v>
      </c>
      <c r="J44" s="4" t="s">
        <v>487</v>
      </c>
      <c r="K44" s="4" t="s">
        <v>488</v>
      </c>
      <c r="L44" s="4" t="s">
        <v>489</v>
      </c>
      <c r="M44" s="4" t="s">
        <v>490</v>
      </c>
      <c r="N44" s="1" t="s">
        <v>46</v>
      </c>
      <c r="O44" s="1" t="s">
        <v>47</v>
      </c>
      <c r="P44" t="s">
        <v>65</v>
      </c>
      <c r="Q44" s="4" t="s">
        <v>491</v>
      </c>
      <c r="R44" s="2"/>
      <c r="S44" s="1"/>
      <c r="T44" s="1" t="s">
        <v>319</v>
      </c>
      <c r="U44" s="4" t="s">
        <v>492</v>
      </c>
      <c r="V44" s="4" t="s">
        <v>52</v>
      </c>
      <c r="W44" s="5" t="s">
        <v>53</v>
      </c>
      <c r="X44" s="4" t="s">
        <v>54</v>
      </c>
      <c r="Y44" s="4"/>
      <c r="Z44" s="5" t="s">
        <v>53</v>
      </c>
      <c r="AA44" s="4" t="s">
        <v>54</v>
      </c>
      <c r="AB44" s="4"/>
      <c r="AC44" s="5" t="s">
        <v>53</v>
      </c>
      <c r="AD44" s="4" t="s">
        <v>54</v>
      </c>
      <c r="AE44" s="4"/>
      <c r="AF44" s="4" t="s">
        <v>53</v>
      </c>
      <c r="AG44" s="4" t="s">
        <v>55</v>
      </c>
      <c r="AH44" s="5" t="s">
        <v>53</v>
      </c>
      <c r="AI44" s="4"/>
      <c r="AJ44" s="4"/>
    </row>
    <row r="45" ht="101.25" customHeight="1" spans="1:36" x14ac:dyDescent="0.25">
      <c r="A45" s="1" t="s">
        <v>35</v>
      </c>
      <c r="B45" s="1" t="s">
        <v>36</v>
      </c>
      <c r="C45" s="1" t="s">
        <v>455</v>
      </c>
      <c r="D45" s="1" t="s">
        <v>456</v>
      </c>
      <c r="E45" s="1">
        <f t="shared" si="0"/>
        <v>0.04</v>
      </c>
      <c r="F45" s="1" t="s">
        <v>493</v>
      </c>
      <c r="G45" s="1" t="s">
        <v>494</v>
      </c>
      <c r="H45" s="1">
        <f t="shared" si="10"/>
        <v>0.07142857143</v>
      </c>
      <c r="I45" s="4" t="s">
        <v>495</v>
      </c>
      <c r="J45" s="4" t="s">
        <v>496</v>
      </c>
      <c r="K45" s="4" t="s">
        <v>497</v>
      </c>
      <c r="L45" s="4" t="s">
        <v>498</v>
      </c>
      <c r="M45" s="4" t="s">
        <v>499</v>
      </c>
      <c r="N45" s="1" t="s">
        <v>46</v>
      </c>
      <c r="O45" s="1" t="s">
        <v>47</v>
      </c>
      <c r="P45" t="s">
        <v>65</v>
      </c>
      <c r="Q45" s="4" t="s">
        <v>500</v>
      </c>
      <c r="R45" s="2"/>
      <c r="S45" s="1"/>
      <c r="T45" s="1"/>
      <c r="U45" s="4" t="s">
        <v>501</v>
      </c>
      <c r="V45" s="4" t="s">
        <v>52</v>
      </c>
      <c r="W45" s="5" t="s">
        <v>53</v>
      </c>
      <c r="X45" s="4" t="s">
        <v>54</v>
      </c>
      <c r="Y45" s="4"/>
      <c r="Z45" s="5" t="s">
        <v>53</v>
      </c>
      <c r="AA45" s="4" t="s">
        <v>54</v>
      </c>
      <c r="AB45" s="4"/>
      <c r="AC45" s="5" t="s">
        <v>53</v>
      </c>
      <c r="AD45" s="4" t="s">
        <v>54</v>
      </c>
      <c r="AE45" s="4"/>
      <c r="AF45" s="4" t="s">
        <v>53</v>
      </c>
      <c r="AG45" s="4" t="s">
        <v>55</v>
      </c>
      <c r="AH45" s="5" t="s">
        <v>53</v>
      </c>
      <c r="AI45" s="4"/>
      <c r="AJ45" s="4"/>
    </row>
    <row r="46" ht="101.25" customHeight="1" spans="1:36" x14ac:dyDescent="0.25">
      <c r="A46" s="1" t="s">
        <v>35</v>
      </c>
      <c r="B46" s="1" t="s">
        <v>36</v>
      </c>
      <c r="C46" s="1" t="s">
        <v>455</v>
      </c>
      <c r="D46" s="1" t="s">
        <v>456</v>
      </c>
      <c r="E46" s="1">
        <f t="shared" si="0"/>
        <v>0.04</v>
      </c>
      <c r="F46" s="1" t="s">
        <v>502</v>
      </c>
      <c r="G46" s="1" t="s">
        <v>503</v>
      </c>
      <c r="H46" s="1">
        <f t="shared" si="10"/>
        <v>0.07142857143</v>
      </c>
      <c r="I46" s="4" t="s">
        <v>504</v>
      </c>
      <c r="J46" s="4" t="s">
        <v>505</v>
      </c>
      <c r="K46" s="4" t="s">
        <v>506</v>
      </c>
      <c r="L46" s="4" t="s">
        <v>507</v>
      </c>
      <c r="M46" s="4" t="s">
        <v>508</v>
      </c>
      <c r="N46" s="1" t="s">
        <v>46</v>
      </c>
      <c r="O46" s="1" t="s">
        <v>47</v>
      </c>
      <c r="P46" t="s">
        <v>65</v>
      </c>
      <c r="Q46" s="4" t="s">
        <v>509</v>
      </c>
      <c r="R46" s="2"/>
      <c r="S46" s="1"/>
      <c r="T46" s="1"/>
      <c r="U46" s="4" t="s">
        <v>510</v>
      </c>
      <c r="V46" s="4" t="s">
        <v>52</v>
      </c>
      <c r="W46" s="4">
        <v>4</v>
      </c>
      <c r="X46" s="4" t="s">
        <v>511</v>
      </c>
      <c r="Y46" s="4" t="s">
        <v>377</v>
      </c>
      <c r="Z46" s="4">
        <v>4</v>
      </c>
      <c r="AA46" s="4" t="s">
        <v>512</v>
      </c>
      <c r="AB46" s="4" t="s">
        <v>377</v>
      </c>
      <c r="AC46" s="4">
        <v>4</v>
      </c>
      <c r="AD46" s="4" t="s">
        <v>513</v>
      </c>
      <c r="AE46" s="4" t="s">
        <v>377</v>
      </c>
      <c r="AF46" s="4" t="s">
        <v>334</v>
      </c>
      <c r="AG46" s="4" t="s">
        <v>514</v>
      </c>
      <c r="AH46" s="5" t="s">
        <v>53</v>
      </c>
      <c r="AI46" s="4"/>
      <c r="AJ46" s="4"/>
    </row>
    <row r="47" ht="101.25" customHeight="1" spans="1:36" x14ac:dyDescent="0.25">
      <c r="A47" s="1" t="s">
        <v>35</v>
      </c>
      <c r="B47" s="1" t="s">
        <v>36</v>
      </c>
      <c r="C47" s="1" t="s">
        <v>455</v>
      </c>
      <c r="D47" s="1" t="s">
        <v>456</v>
      </c>
      <c r="E47" s="1">
        <f t="shared" si="0"/>
        <v>0.04</v>
      </c>
      <c r="F47" s="1" t="s">
        <v>515</v>
      </c>
      <c r="G47" s="1" t="s">
        <v>516</v>
      </c>
      <c r="H47" s="1">
        <f t="shared" si="10"/>
        <v>0.07142857143</v>
      </c>
      <c r="I47" s="4" t="s">
        <v>517</v>
      </c>
      <c r="J47" s="4" t="s">
        <v>518</v>
      </c>
      <c r="K47" s="4" t="s">
        <v>519</v>
      </c>
      <c r="L47" s="4" t="s">
        <v>520</v>
      </c>
      <c r="M47" s="4" t="s">
        <v>521</v>
      </c>
      <c r="N47" s="1" t="s">
        <v>46</v>
      </c>
      <c r="O47" s="1" t="s">
        <v>47</v>
      </c>
      <c r="P47" t="s">
        <v>65</v>
      </c>
      <c r="Q47" s="4" t="s">
        <v>522</v>
      </c>
      <c r="R47" s="2"/>
      <c r="S47" s="1"/>
      <c r="T47" s="1"/>
      <c r="U47" s="4" t="s">
        <v>523</v>
      </c>
      <c r="V47" s="4" t="s">
        <v>52</v>
      </c>
      <c r="W47" s="5" t="s">
        <v>53</v>
      </c>
      <c r="X47" s="4" t="s">
        <v>54</v>
      </c>
      <c r="Y47" s="4"/>
      <c r="Z47" s="5" t="s">
        <v>53</v>
      </c>
      <c r="AA47" s="4" t="s">
        <v>54</v>
      </c>
      <c r="AB47" s="4"/>
      <c r="AC47" s="5" t="s">
        <v>53</v>
      </c>
      <c r="AD47" s="4" t="s">
        <v>54</v>
      </c>
      <c r="AE47" s="4"/>
      <c r="AF47" s="4" t="s">
        <v>53</v>
      </c>
      <c r="AG47" s="4" t="s">
        <v>55</v>
      </c>
      <c r="AH47" s="5" t="s">
        <v>53</v>
      </c>
      <c r="AI47" s="4"/>
      <c r="AJ47" s="4"/>
    </row>
    <row r="48" ht="101.25" customHeight="1" spans="1:36" x14ac:dyDescent="0.25">
      <c r="A48" s="1" t="s">
        <v>35</v>
      </c>
      <c r="B48" s="1" t="s">
        <v>36</v>
      </c>
      <c r="C48" s="1" t="s">
        <v>455</v>
      </c>
      <c r="D48" s="1" t="s">
        <v>456</v>
      </c>
      <c r="E48" s="1">
        <f t="shared" si="0"/>
        <v>0.04</v>
      </c>
      <c r="F48" s="1" t="s">
        <v>524</v>
      </c>
      <c r="G48" s="1" t="s">
        <v>525</v>
      </c>
      <c r="H48" s="1">
        <f t="shared" si="10"/>
        <v>0.07142857143</v>
      </c>
      <c r="I48" s="4" t="s">
        <v>526</v>
      </c>
      <c r="J48" s="4" t="s">
        <v>527</v>
      </c>
      <c r="K48" s="4" t="s">
        <v>528</v>
      </c>
      <c r="L48" s="4" t="s">
        <v>529</v>
      </c>
      <c r="M48" s="4" t="s">
        <v>530</v>
      </c>
      <c r="N48" s="1" t="s">
        <v>46</v>
      </c>
      <c r="O48" s="1" t="s">
        <v>47</v>
      </c>
      <c r="P48" t="s">
        <v>65</v>
      </c>
      <c r="Q48" s="4" t="s">
        <v>531</v>
      </c>
      <c r="R48" s="2"/>
      <c r="S48" s="1"/>
      <c r="T48" s="1" t="s">
        <v>319</v>
      </c>
      <c r="U48" s="4" t="s">
        <v>532</v>
      </c>
      <c r="V48" s="4" t="s">
        <v>52</v>
      </c>
      <c r="W48" s="5" t="s">
        <v>53</v>
      </c>
      <c r="X48" s="4" t="s">
        <v>54</v>
      </c>
      <c r="Y48" s="4"/>
      <c r="Z48" s="5" t="s">
        <v>53</v>
      </c>
      <c r="AA48" s="4" t="s">
        <v>54</v>
      </c>
      <c r="AB48" s="4"/>
      <c r="AC48" s="5" t="s">
        <v>53</v>
      </c>
      <c r="AD48" s="4" t="s">
        <v>54</v>
      </c>
      <c r="AE48" s="4"/>
      <c r="AF48" s="4" t="s">
        <v>53</v>
      </c>
      <c r="AG48" s="4" t="s">
        <v>55</v>
      </c>
      <c r="AH48" s="5" t="s">
        <v>53</v>
      </c>
      <c r="AI48" s="4"/>
      <c r="AJ48" s="4"/>
    </row>
    <row r="49" ht="101.25" customHeight="1" spans="1:36" x14ac:dyDescent="0.25">
      <c r="A49" s="1" t="s">
        <v>35</v>
      </c>
      <c r="B49" s="1" t="s">
        <v>36</v>
      </c>
      <c r="C49" s="1" t="s">
        <v>455</v>
      </c>
      <c r="D49" s="1" t="s">
        <v>456</v>
      </c>
      <c r="E49" s="1">
        <f t="shared" si="0"/>
        <v>0.04</v>
      </c>
      <c r="F49" s="1" t="s">
        <v>533</v>
      </c>
      <c r="G49" s="1" t="s">
        <v>534</v>
      </c>
      <c r="H49" s="1">
        <f t="shared" si="10"/>
        <v>0.07142857143</v>
      </c>
      <c r="I49" s="4" t="s">
        <v>535</v>
      </c>
      <c r="J49" s="4" t="s">
        <v>536</v>
      </c>
      <c r="K49" s="4" t="s">
        <v>537</v>
      </c>
      <c r="L49" s="4" t="s">
        <v>538</v>
      </c>
      <c r="M49" s="4" t="s">
        <v>539</v>
      </c>
      <c r="N49" s="1" t="s">
        <v>46</v>
      </c>
      <c r="O49" s="1" t="s">
        <v>47</v>
      </c>
      <c r="P49" t="s">
        <v>65</v>
      </c>
      <c r="Q49" s="4" t="s">
        <v>540</v>
      </c>
      <c r="R49" s="2"/>
      <c r="S49" s="1"/>
      <c r="T49" s="1" t="s">
        <v>319</v>
      </c>
      <c r="U49" s="4" t="s">
        <v>541</v>
      </c>
      <c r="V49" s="4" t="s">
        <v>52</v>
      </c>
      <c r="W49" s="5" t="s">
        <v>53</v>
      </c>
      <c r="X49" s="4" t="s">
        <v>54</v>
      </c>
      <c r="Y49" s="4"/>
      <c r="Z49" s="5" t="s">
        <v>53</v>
      </c>
      <c r="AA49" s="4" t="s">
        <v>54</v>
      </c>
      <c r="AB49" s="4"/>
      <c r="AC49" s="5" t="s">
        <v>53</v>
      </c>
      <c r="AD49" s="4" t="s">
        <v>54</v>
      </c>
      <c r="AE49" s="4"/>
      <c r="AF49" s="4" t="s">
        <v>53</v>
      </c>
      <c r="AG49" s="4" t="s">
        <v>55</v>
      </c>
      <c r="AH49" s="5" t="s">
        <v>53</v>
      </c>
      <c r="AI49" s="4"/>
      <c r="AJ49" s="4"/>
    </row>
    <row r="50" ht="101.25" customHeight="1" spans="1:36" x14ac:dyDescent="0.25">
      <c r="A50" s="1" t="s">
        <v>35</v>
      </c>
      <c r="B50" s="1" t="s">
        <v>36</v>
      </c>
      <c r="C50" s="1" t="s">
        <v>455</v>
      </c>
      <c r="D50" s="1" t="s">
        <v>456</v>
      </c>
      <c r="E50" s="1">
        <f t="shared" si="0"/>
        <v>0.04</v>
      </c>
      <c r="F50" s="1" t="s">
        <v>542</v>
      </c>
      <c r="G50" s="1" t="s">
        <v>543</v>
      </c>
      <c r="H50" s="1">
        <f t="shared" si="10"/>
        <v>0.07142857143</v>
      </c>
      <c r="I50" s="4" t="s">
        <v>544</v>
      </c>
      <c r="J50" s="4" t="s">
        <v>545</v>
      </c>
      <c r="K50" s="4" t="s">
        <v>546</v>
      </c>
      <c r="L50" s="4" t="s">
        <v>547</v>
      </c>
      <c r="M50" s="4" t="s">
        <v>548</v>
      </c>
      <c r="N50" s="1" t="s">
        <v>46</v>
      </c>
      <c r="O50" s="1" t="s">
        <v>47</v>
      </c>
      <c r="P50" t="s">
        <v>65</v>
      </c>
      <c r="Q50" s="4" t="s">
        <v>549</v>
      </c>
      <c r="R50" s="2"/>
      <c r="S50" s="1"/>
      <c r="T50" s="1"/>
      <c r="U50" s="4" t="s">
        <v>550</v>
      </c>
      <c r="V50" s="4" t="s">
        <v>52</v>
      </c>
      <c r="W50" s="5" t="s">
        <v>53</v>
      </c>
      <c r="X50" s="4" t="s">
        <v>54</v>
      </c>
      <c r="Y50" s="4"/>
      <c r="Z50" s="5" t="s">
        <v>53</v>
      </c>
      <c r="AA50" s="4" t="s">
        <v>54</v>
      </c>
      <c r="AB50" s="4"/>
      <c r="AC50" s="5" t="s">
        <v>53</v>
      </c>
      <c r="AD50" s="4" t="s">
        <v>54</v>
      </c>
      <c r="AE50" s="4"/>
      <c r="AF50" s="4" t="s">
        <v>53</v>
      </c>
      <c r="AG50" s="4" t="s">
        <v>55</v>
      </c>
      <c r="AH50" s="5" t="s">
        <v>53</v>
      </c>
      <c r="AI50" s="4"/>
      <c r="AJ50" s="4"/>
    </row>
    <row r="51" ht="101.25" customHeight="1" spans="1:36" x14ac:dyDescent="0.25">
      <c r="A51" s="1" t="s">
        <v>35</v>
      </c>
      <c r="B51" s="1" t="s">
        <v>36</v>
      </c>
      <c r="C51" s="1" t="s">
        <v>455</v>
      </c>
      <c r="D51" s="1" t="s">
        <v>456</v>
      </c>
      <c r="E51" s="1">
        <f t="shared" si="0"/>
        <v>0.04</v>
      </c>
      <c r="F51" s="1" t="s">
        <v>551</v>
      </c>
      <c r="G51" s="1" t="s">
        <v>552</v>
      </c>
      <c r="H51" s="1">
        <f t="shared" si="10"/>
        <v>0.07142857143</v>
      </c>
      <c r="I51" s="4" t="s">
        <v>553</v>
      </c>
      <c r="J51" s="4" t="s">
        <v>554</v>
      </c>
      <c r="K51" s="4" t="s">
        <v>555</v>
      </c>
      <c r="L51" s="4" t="s">
        <v>556</v>
      </c>
      <c r="M51" s="4" t="s">
        <v>557</v>
      </c>
      <c r="N51" s="1" t="s">
        <v>46</v>
      </c>
      <c r="O51" s="1" t="s">
        <v>47</v>
      </c>
      <c r="P51" t="s">
        <v>65</v>
      </c>
      <c r="Q51" s="4" t="s">
        <v>558</v>
      </c>
      <c r="R51" s="2"/>
      <c r="S51" s="1"/>
      <c r="T51" s="1" t="s">
        <v>319</v>
      </c>
      <c r="U51" s="4" t="s">
        <v>559</v>
      </c>
      <c r="V51" s="4" t="s">
        <v>52</v>
      </c>
      <c r="W51" s="5" t="s">
        <v>53</v>
      </c>
      <c r="X51" s="4" t="s">
        <v>54</v>
      </c>
      <c r="Y51" s="4"/>
      <c r="Z51" s="5" t="s">
        <v>53</v>
      </c>
      <c r="AA51" s="4" t="s">
        <v>54</v>
      </c>
      <c r="AB51" s="4"/>
      <c r="AC51" s="5" t="s">
        <v>53</v>
      </c>
      <c r="AD51" s="4" t="s">
        <v>54</v>
      </c>
      <c r="AE51" s="4"/>
      <c r="AF51" s="4" t="s">
        <v>53</v>
      </c>
      <c r="AG51" s="4" t="s">
        <v>55</v>
      </c>
      <c r="AH51" s="5" t="s">
        <v>53</v>
      </c>
      <c r="AI51" s="4"/>
      <c r="AJ51" s="4"/>
    </row>
    <row r="52" ht="101.25" customHeight="1" spans="1:36" x14ac:dyDescent="0.25">
      <c r="A52" s="1" t="s">
        <v>35</v>
      </c>
      <c r="B52" s="1" t="s">
        <v>36</v>
      </c>
      <c r="C52" s="1" t="s">
        <v>455</v>
      </c>
      <c r="D52" s="1" t="s">
        <v>456</v>
      </c>
      <c r="E52" s="1">
        <f t="shared" si="0"/>
        <v>0.04</v>
      </c>
      <c r="F52" s="1" t="s">
        <v>560</v>
      </c>
      <c r="G52" s="1" t="s">
        <v>561</v>
      </c>
      <c r="H52" s="1">
        <f t="shared" si="10"/>
        <v>0.07142857143</v>
      </c>
      <c r="I52" s="4" t="s">
        <v>562</v>
      </c>
      <c r="J52" s="4" t="s">
        <v>563</v>
      </c>
      <c r="K52" s="4" t="s">
        <v>564</v>
      </c>
      <c r="L52" s="4" t="s">
        <v>565</v>
      </c>
      <c r="M52" s="4" t="s">
        <v>566</v>
      </c>
      <c r="N52" s="1" t="s">
        <v>46</v>
      </c>
      <c r="O52" s="1" t="s">
        <v>47</v>
      </c>
      <c r="P52" t="s">
        <v>65</v>
      </c>
      <c r="Q52" s="4" t="s">
        <v>567</v>
      </c>
      <c r="R52" s="2"/>
      <c r="S52" s="1"/>
      <c r="T52" s="1" t="s">
        <v>319</v>
      </c>
      <c r="U52" s="4" t="s">
        <v>568</v>
      </c>
      <c r="V52" s="4" t="s">
        <v>52</v>
      </c>
      <c r="W52" s="5" t="s">
        <v>53</v>
      </c>
      <c r="X52" s="4" t="s">
        <v>54</v>
      </c>
      <c r="Y52" s="4"/>
      <c r="Z52" s="5" t="s">
        <v>53</v>
      </c>
      <c r="AA52" s="4" t="s">
        <v>54</v>
      </c>
      <c r="AB52" s="4"/>
      <c r="AC52" s="5" t="s">
        <v>53</v>
      </c>
      <c r="AD52" s="4" t="s">
        <v>54</v>
      </c>
      <c r="AE52" s="4"/>
      <c r="AF52" s="4" t="s">
        <v>53</v>
      </c>
      <c r="AG52" s="4" t="s">
        <v>55</v>
      </c>
      <c r="AH52" s="5" t="s">
        <v>53</v>
      </c>
      <c r="AI52" s="4"/>
      <c r="AJ52" s="4"/>
    </row>
    <row r="53" ht="101.25" customHeight="1" spans="1:36" x14ac:dyDescent="0.25">
      <c r="A53" s="1" t="s">
        <v>35</v>
      </c>
      <c r="B53" s="1" t="s">
        <v>36</v>
      </c>
      <c r="C53" s="1" t="s">
        <v>455</v>
      </c>
      <c r="D53" s="1" t="s">
        <v>456</v>
      </c>
      <c r="E53" s="1">
        <f t="shared" si="0"/>
        <v>0.04</v>
      </c>
      <c r="F53" s="1" t="s">
        <v>569</v>
      </c>
      <c r="G53" s="1" t="s">
        <v>570</v>
      </c>
      <c r="H53" s="1">
        <f t="shared" si="10"/>
        <v>0.07142857143</v>
      </c>
      <c r="I53" s="4" t="s">
        <v>571</v>
      </c>
      <c r="J53" s="4" t="s">
        <v>572</v>
      </c>
      <c r="K53" s="4" t="s">
        <v>573</v>
      </c>
      <c r="L53" s="4" t="s">
        <v>574</v>
      </c>
      <c r="M53" s="4" t="s">
        <v>575</v>
      </c>
      <c r="N53" s="1" t="s">
        <v>46</v>
      </c>
      <c r="O53" s="1" t="s">
        <v>47</v>
      </c>
      <c r="P53" t="s">
        <v>65</v>
      </c>
      <c r="Q53" s="4" t="s">
        <v>576</v>
      </c>
      <c r="R53" s="2"/>
      <c r="S53" s="1"/>
      <c r="T53" s="1" t="s">
        <v>319</v>
      </c>
      <c r="U53" s="4" t="s">
        <v>577</v>
      </c>
      <c r="V53" s="4" t="s">
        <v>52</v>
      </c>
      <c r="W53" s="5" t="s">
        <v>53</v>
      </c>
      <c r="X53" s="4" t="s">
        <v>54</v>
      </c>
      <c r="Y53" s="4"/>
      <c r="Z53" s="5" t="s">
        <v>53</v>
      </c>
      <c r="AA53" s="4" t="s">
        <v>54</v>
      </c>
      <c r="AB53" s="4"/>
      <c r="AC53" s="5" t="s">
        <v>53</v>
      </c>
      <c r="AD53" s="4" t="s">
        <v>54</v>
      </c>
      <c r="AE53" s="4"/>
      <c r="AF53" s="4" t="s">
        <v>53</v>
      </c>
      <c r="AG53" s="4" t="s">
        <v>55</v>
      </c>
      <c r="AH53" s="5" t="s">
        <v>53</v>
      </c>
      <c r="AI53" s="4"/>
      <c r="AJ53" s="4"/>
    </row>
    <row r="54" ht="101.25" customHeight="1" spans="1:36" x14ac:dyDescent="0.25">
      <c r="A54" s="1" t="s">
        <v>35</v>
      </c>
      <c r="B54" s="1" t="s">
        <v>36</v>
      </c>
      <c r="C54" s="1" t="s">
        <v>455</v>
      </c>
      <c r="D54" s="1" t="s">
        <v>456</v>
      </c>
      <c r="E54" s="1">
        <f t="shared" si="0"/>
        <v>0.04</v>
      </c>
      <c r="F54" s="1" t="s">
        <v>578</v>
      </c>
      <c r="G54" s="1" t="s">
        <v>579</v>
      </c>
      <c r="H54" s="1">
        <f t="shared" si="10"/>
        <v>0.07142857143</v>
      </c>
      <c r="I54" s="4" t="s">
        <v>580</v>
      </c>
      <c r="J54" s="4" t="s">
        <v>581</v>
      </c>
      <c r="K54" s="4" t="s">
        <v>582</v>
      </c>
      <c r="L54" s="4" t="s">
        <v>583</v>
      </c>
      <c r="M54" s="4" t="s">
        <v>584</v>
      </c>
      <c r="N54" s="1" t="s">
        <v>46</v>
      </c>
      <c r="O54" s="1" t="s">
        <v>47</v>
      </c>
      <c r="P54" t="s">
        <v>65</v>
      </c>
      <c r="Q54" s="4" t="s">
        <v>585</v>
      </c>
      <c r="R54" s="2"/>
      <c r="S54" s="1"/>
      <c r="T54" s="1" t="s">
        <v>319</v>
      </c>
      <c r="U54" s="4" t="s">
        <v>586</v>
      </c>
      <c r="V54" s="4" t="s">
        <v>52</v>
      </c>
      <c r="W54" s="5" t="s">
        <v>53</v>
      </c>
      <c r="X54" s="4" t="s">
        <v>54</v>
      </c>
      <c r="Y54" s="4"/>
      <c r="Z54" s="5" t="s">
        <v>53</v>
      </c>
      <c r="AA54" s="4" t="s">
        <v>54</v>
      </c>
      <c r="AB54" s="4"/>
      <c r="AC54" s="5" t="s">
        <v>53</v>
      </c>
      <c r="AD54" s="4" t="s">
        <v>54</v>
      </c>
      <c r="AE54" s="4"/>
      <c r="AF54" s="4" t="s">
        <v>53</v>
      </c>
      <c r="AG54" s="4" t="s">
        <v>55</v>
      </c>
      <c r="AH54" s="5" t="s">
        <v>53</v>
      </c>
      <c r="AI54" s="4"/>
      <c r="AJ54" s="4"/>
    </row>
    <row r="55" ht="101.25" customHeight="1" spans="1:36" x14ac:dyDescent="0.25">
      <c r="A55" s="1" t="s">
        <v>35</v>
      </c>
      <c r="B55" s="1" t="s">
        <v>36</v>
      </c>
      <c r="C55" s="1" t="s">
        <v>587</v>
      </c>
      <c r="D55" s="1" t="s">
        <v>588</v>
      </c>
      <c r="E55" s="1">
        <f t="shared" si="0"/>
        <v>0.04</v>
      </c>
      <c r="F55" s="1" t="s">
        <v>589</v>
      </c>
      <c r="G55" s="1" t="s">
        <v>590</v>
      </c>
      <c r="H55" s="1">
        <f t="shared" ref="H55:H59" si="11">1/5</f>
        <v>0.2</v>
      </c>
      <c r="I55" s="4" t="s">
        <v>591</v>
      </c>
      <c r="J55" s="4" t="s">
        <v>592</v>
      </c>
      <c r="K55" s="4" t="s">
        <v>593</v>
      </c>
      <c r="L55" s="4" t="s">
        <v>594</v>
      </c>
      <c r="M55" s="4" t="s">
        <v>595</v>
      </c>
      <c r="N55" s="1" t="s">
        <v>46</v>
      </c>
      <c r="O55" s="1" t="s">
        <v>47</v>
      </c>
      <c r="P55" t="s">
        <v>65</v>
      </c>
      <c r="Q55" s="4" t="s">
        <v>596</v>
      </c>
      <c r="R55" s="2"/>
      <c r="S55" s="1"/>
      <c r="T55" s="1"/>
      <c r="U55" s="4" t="s">
        <v>597</v>
      </c>
      <c r="V55" s="4" t="s">
        <v>598</v>
      </c>
      <c r="W55" s="4">
        <v>4</v>
      </c>
      <c r="X55" s="4" t="s">
        <v>599</v>
      </c>
      <c r="Y55" s="4" t="s">
        <v>377</v>
      </c>
      <c r="Z55" s="4">
        <v>4</v>
      </c>
      <c r="AA55" s="4" t="s">
        <v>600</v>
      </c>
      <c r="AB55" s="4" t="s">
        <v>377</v>
      </c>
      <c r="AC55" s="4">
        <v>3</v>
      </c>
      <c r="AD55" s="4" t="s">
        <v>601</v>
      </c>
      <c r="AE55" s="4" t="s">
        <v>377</v>
      </c>
      <c r="AF55" s="4" t="s">
        <v>347</v>
      </c>
      <c r="AG55" s="4" t="s">
        <v>602</v>
      </c>
      <c r="AH55" s="5" t="s">
        <v>53</v>
      </c>
      <c r="AI55" s="4"/>
      <c r="AJ55" s="4"/>
    </row>
    <row r="56" ht="109.5" customHeight="1" spans="1:36" x14ac:dyDescent="0.25">
      <c r="A56" s="1" t="s">
        <v>35</v>
      </c>
      <c r="B56" s="1" t="s">
        <v>36</v>
      </c>
      <c r="C56" s="1" t="s">
        <v>587</v>
      </c>
      <c r="D56" s="1" t="s">
        <v>588</v>
      </c>
      <c r="E56" s="1">
        <f t="shared" si="0"/>
        <v>0.04</v>
      </c>
      <c r="F56" s="1" t="s">
        <v>603</v>
      </c>
      <c r="G56" s="1" t="s">
        <v>604</v>
      </c>
      <c r="H56" s="1">
        <f t="shared" si="11"/>
        <v>0.2</v>
      </c>
      <c r="I56" s="4" t="s">
        <v>605</v>
      </c>
      <c r="J56" s="4" t="s">
        <v>606</v>
      </c>
      <c r="K56" s="4" t="s">
        <v>607</v>
      </c>
      <c r="L56" s="4" t="s">
        <v>608</v>
      </c>
      <c r="M56" s="4" t="s">
        <v>609</v>
      </c>
      <c r="N56" s="1" t="s">
        <v>46</v>
      </c>
      <c r="O56" s="1" t="s">
        <v>47</v>
      </c>
      <c r="P56" t="s">
        <v>65</v>
      </c>
      <c r="Q56" s="4" t="s">
        <v>610</v>
      </c>
      <c r="R56" s="2"/>
      <c r="S56" s="1"/>
      <c r="T56" s="1"/>
      <c r="U56" s="4" t="s">
        <v>611</v>
      </c>
      <c r="V56" s="4" t="s">
        <v>612</v>
      </c>
      <c r="W56" s="5" t="s">
        <v>53</v>
      </c>
      <c r="X56" s="4" t="s">
        <v>54</v>
      </c>
      <c r="Y56" s="4"/>
      <c r="Z56" s="5" t="s">
        <v>53</v>
      </c>
      <c r="AA56" s="4" t="s">
        <v>54</v>
      </c>
      <c r="AB56" s="4"/>
      <c r="AC56" s="5" t="s">
        <v>53</v>
      </c>
      <c r="AD56" s="4" t="s">
        <v>54</v>
      </c>
      <c r="AE56" s="4"/>
      <c r="AF56" s="4" t="s">
        <v>53</v>
      </c>
      <c r="AG56" s="4" t="s">
        <v>55</v>
      </c>
      <c r="AH56" s="5" t="s">
        <v>53</v>
      </c>
      <c r="AI56" s="4"/>
      <c r="AJ56" s="4"/>
    </row>
    <row r="57" ht="109.5" customHeight="1" spans="1:36" x14ac:dyDescent="0.25">
      <c r="A57" s="1" t="s">
        <v>35</v>
      </c>
      <c r="B57" s="1" t="s">
        <v>36</v>
      </c>
      <c r="C57" s="1" t="s">
        <v>587</v>
      </c>
      <c r="D57" s="1" t="s">
        <v>588</v>
      </c>
      <c r="E57" s="1">
        <f t="shared" si="0"/>
        <v>0.04</v>
      </c>
      <c r="F57" s="1" t="s">
        <v>613</v>
      </c>
      <c r="G57" s="1" t="s">
        <v>614</v>
      </c>
      <c r="H57" s="1">
        <f t="shared" si="11"/>
        <v>0.2</v>
      </c>
      <c r="I57" s="4" t="s">
        <v>615</v>
      </c>
      <c r="J57" s="4" t="s">
        <v>616</v>
      </c>
      <c r="K57" s="4" t="s">
        <v>617</v>
      </c>
      <c r="L57" s="4" t="s">
        <v>618</v>
      </c>
      <c r="M57" s="4" t="s">
        <v>619</v>
      </c>
      <c r="N57" s="1" t="s">
        <v>46</v>
      </c>
      <c r="O57" s="1" t="s">
        <v>47</v>
      </c>
      <c r="P57" t="s">
        <v>65</v>
      </c>
      <c r="Q57" s="4" t="s">
        <v>620</v>
      </c>
      <c r="R57" s="2"/>
      <c r="S57" s="1"/>
      <c r="T57" s="1"/>
      <c r="U57" s="4" t="s">
        <v>621</v>
      </c>
      <c r="V57" s="4" t="s">
        <v>52</v>
      </c>
      <c r="W57" s="5" t="s">
        <v>53</v>
      </c>
      <c r="X57" s="4" t="s">
        <v>54</v>
      </c>
      <c r="Y57" s="4"/>
      <c r="Z57" s="5" t="s">
        <v>53</v>
      </c>
      <c r="AA57" s="4" t="s">
        <v>54</v>
      </c>
      <c r="AB57" s="4"/>
      <c r="AC57" s="5" t="s">
        <v>53</v>
      </c>
      <c r="AD57" s="4" t="s">
        <v>54</v>
      </c>
      <c r="AE57" s="4"/>
      <c r="AF57" s="4" t="s">
        <v>53</v>
      </c>
      <c r="AG57" s="4" t="s">
        <v>55</v>
      </c>
      <c r="AH57" s="5" t="s">
        <v>53</v>
      </c>
      <c r="AI57" s="4"/>
      <c r="AJ57" s="4"/>
    </row>
    <row r="58" ht="109.5" customHeight="1" spans="1:36" x14ac:dyDescent="0.25">
      <c r="A58" s="1" t="s">
        <v>35</v>
      </c>
      <c r="B58" s="1" t="s">
        <v>36</v>
      </c>
      <c r="C58" s="1" t="s">
        <v>587</v>
      </c>
      <c r="D58" s="1" t="s">
        <v>588</v>
      </c>
      <c r="E58" s="1">
        <f t="shared" si="0"/>
        <v>0.04</v>
      </c>
      <c r="F58" s="1" t="s">
        <v>622</v>
      </c>
      <c r="G58" s="1" t="s">
        <v>623</v>
      </c>
      <c r="H58" s="1">
        <f t="shared" si="11"/>
        <v>0.2</v>
      </c>
      <c r="I58" s="4" t="s">
        <v>624</v>
      </c>
      <c r="J58" s="4" t="s">
        <v>625</v>
      </c>
      <c r="K58" s="4" t="s">
        <v>626</v>
      </c>
      <c r="L58" s="4" t="s">
        <v>627</v>
      </c>
      <c r="M58" s="4" t="s">
        <v>628</v>
      </c>
      <c r="N58" s="1" t="s">
        <v>46</v>
      </c>
      <c r="O58" s="1" t="s">
        <v>47</v>
      </c>
      <c r="P58" t="s">
        <v>65</v>
      </c>
      <c r="Q58" s="4" t="s">
        <v>629</v>
      </c>
      <c r="R58" s="2"/>
      <c r="S58" s="1"/>
      <c r="T58" s="1" t="s">
        <v>319</v>
      </c>
      <c r="U58" s="4" t="s">
        <v>630</v>
      </c>
      <c r="V58" s="4" t="s">
        <v>52</v>
      </c>
      <c r="W58" s="5" t="s">
        <v>53</v>
      </c>
      <c r="X58" s="4" t="s">
        <v>54</v>
      </c>
      <c r="Y58" s="4"/>
      <c r="Z58" s="5" t="s">
        <v>53</v>
      </c>
      <c r="AA58" s="4" t="s">
        <v>54</v>
      </c>
      <c r="AB58" s="4"/>
      <c r="AC58" s="5" t="s">
        <v>53</v>
      </c>
      <c r="AD58" s="4" t="s">
        <v>54</v>
      </c>
      <c r="AE58" s="4"/>
      <c r="AF58" s="4" t="s">
        <v>53</v>
      </c>
      <c r="AG58" s="4" t="s">
        <v>55</v>
      </c>
      <c r="AH58" s="5" t="s">
        <v>53</v>
      </c>
      <c r="AI58" s="4"/>
      <c r="AJ58" s="4"/>
    </row>
    <row r="59" ht="101.25" customHeight="1" spans="1:36" x14ac:dyDescent="0.25">
      <c r="A59" s="1" t="s">
        <v>35</v>
      </c>
      <c r="B59" s="1" t="s">
        <v>36</v>
      </c>
      <c r="C59" s="1" t="s">
        <v>587</v>
      </c>
      <c r="D59" s="1" t="s">
        <v>588</v>
      </c>
      <c r="E59" s="1">
        <f t="shared" si="0"/>
        <v>0.04</v>
      </c>
      <c r="F59" s="1" t="s">
        <v>631</v>
      </c>
      <c r="G59" s="1" t="s">
        <v>632</v>
      </c>
      <c r="H59" s="1">
        <f t="shared" si="11"/>
        <v>0.2</v>
      </c>
      <c r="I59" s="4" t="s">
        <v>633</v>
      </c>
      <c r="J59" s="4" t="s">
        <v>634</v>
      </c>
      <c r="K59" s="4" t="s">
        <v>635</v>
      </c>
      <c r="L59" s="4" t="s">
        <v>636</v>
      </c>
      <c r="M59" s="4" t="s">
        <v>637</v>
      </c>
      <c r="N59" s="1" t="s">
        <v>46</v>
      </c>
      <c r="O59" s="1" t="s">
        <v>47</v>
      </c>
      <c r="P59" t="s">
        <v>65</v>
      </c>
      <c r="Q59" s="4" t="s">
        <v>638</v>
      </c>
      <c r="R59" s="2"/>
      <c r="S59" s="1"/>
      <c r="T59" s="1" t="s">
        <v>319</v>
      </c>
      <c r="U59" s="4" t="s">
        <v>639</v>
      </c>
      <c r="V59" s="4" t="s">
        <v>52</v>
      </c>
      <c r="W59" s="5" t="s">
        <v>53</v>
      </c>
      <c r="X59" s="4" t="s">
        <v>54</v>
      </c>
      <c r="Y59" s="4"/>
      <c r="Z59" s="5" t="s">
        <v>53</v>
      </c>
      <c r="AA59" s="4" t="s">
        <v>54</v>
      </c>
      <c r="AB59" s="4"/>
      <c r="AC59" s="5" t="s">
        <v>53</v>
      </c>
      <c r="AD59" s="4" t="s">
        <v>54</v>
      </c>
      <c r="AE59" s="4"/>
      <c r="AF59" s="4" t="s">
        <v>53</v>
      </c>
      <c r="AG59" s="4" t="s">
        <v>55</v>
      </c>
      <c r="AH59" s="5" t="s">
        <v>53</v>
      </c>
      <c r="AI59" s="4"/>
      <c r="AJ59" s="4"/>
    </row>
    <row r="60" ht="101.25" customHeight="1" spans="1:36" x14ac:dyDescent="0.25">
      <c r="A60" s="1" t="s">
        <v>35</v>
      </c>
      <c r="B60" s="1" t="s">
        <v>36</v>
      </c>
      <c r="C60" s="1" t="s">
        <v>640</v>
      </c>
      <c r="D60" s="1" t="s">
        <v>641</v>
      </c>
      <c r="E60" s="1">
        <f t="shared" si="0"/>
        <v>0.04</v>
      </c>
      <c r="F60" s="1" t="s">
        <v>642</v>
      </c>
      <c r="G60" s="1" t="s">
        <v>643</v>
      </c>
      <c r="H60" s="1">
        <f t="shared" ref="H60:H63" si="12">1/4</f>
        <v>0.25</v>
      </c>
      <c r="I60" s="4" t="s">
        <v>644</v>
      </c>
      <c r="J60" s="4" t="s">
        <v>645</v>
      </c>
      <c r="K60" s="4" t="s">
        <v>646</v>
      </c>
      <c r="L60" s="4" t="s">
        <v>647</v>
      </c>
      <c r="M60" s="4" t="s">
        <v>648</v>
      </c>
      <c r="N60" s="1" t="s">
        <v>46</v>
      </c>
      <c r="O60" s="1" t="s">
        <v>47</v>
      </c>
      <c r="P60" t="s">
        <v>65</v>
      </c>
      <c r="Q60" s="4" t="s">
        <v>649</v>
      </c>
      <c r="R60" s="2"/>
      <c r="S60" s="1"/>
      <c r="T60" s="1"/>
      <c r="U60" s="4" t="s">
        <v>650</v>
      </c>
      <c r="V60" s="4" t="s">
        <v>52</v>
      </c>
      <c r="W60" s="4">
        <v>5</v>
      </c>
      <c r="X60" s="4" t="s">
        <v>651</v>
      </c>
      <c r="Y60" s="4" t="s">
        <v>377</v>
      </c>
      <c r="Z60" s="4">
        <v>4</v>
      </c>
      <c r="AA60" s="4" t="s">
        <v>652</v>
      </c>
      <c r="AB60" s="4" t="s">
        <v>377</v>
      </c>
      <c r="AC60" s="4">
        <v>4</v>
      </c>
      <c r="AD60" s="4" t="s">
        <v>653</v>
      </c>
      <c r="AE60" s="4" t="s">
        <v>377</v>
      </c>
      <c r="AF60" s="4" t="s">
        <v>654</v>
      </c>
      <c r="AG60" s="4" t="s">
        <v>655</v>
      </c>
      <c r="AH60" s="5" t="s">
        <v>53</v>
      </c>
      <c r="AI60" s="4"/>
      <c r="AJ60" s="4"/>
    </row>
    <row r="61" ht="101.25" customHeight="1" spans="1:36" x14ac:dyDescent="0.25">
      <c r="A61" s="1" t="s">
        <v>35</v>
      </c>
      <c r="B61" s="1" t="s">
        <v>36</v>
      </c>
      <c r="C61" s="1" t="s">
        <v>640</v>
      </c>
      <c r="D61" s="1" t="s">
        <v>641</v>
      </c>
      <c r="E61" s="1">
        <f t="shared" si="0"/>
        <v>0.04</v>
      </c>
      <c r="F61" s="1" t="s">
        <v>656</v>
      </c>
      <c r="G61" s="1" t="s">
        <v>657</v>
      </c>
      <c r="H61" s="1">
        <f t="shared" si="12"/>
        <v>0.25</v>
      </c>
      <c r="I61" s="4" t="s">
        <v>658</v>
      </c>
      <c r="J61" s="4" t="s">
        <v>659</v>
      </c>
      <c r="K61" s="4" t="s">
        <v>660</v>
      </c>
      <c r="L61" s="4" t="s">
        <v>661</v>
      </c>
      <c r="M61" s="4" t="s">
        <v>662</v>
      </c>
      <c r="N61" s="1" t="s">
        <v>46</v>
      </c>
      <c r="O61" s="1" t="s">
        <v>47</v>
      </c>
      <c r="P61" t="s">
        <v>65</v>
      </c>
      <c r="Q61" s="4" t="s">
        <v>663</v>
      </c>
      <c r="R61" s="2"/>
      <c r="S61" s="1"/>
      <c r="T61" s="1"/>
      <c r="U61" s="4" t="s">
        <v>664</v>
      </c>
      <c r="V61" s="4" t="s">
        <v>52</v>
      </c>
      <c r="W61" s="5" t="s">
        <v>53</v>
      </c>
      <c r="X61" s="4" t="s">
        <v>54</v>
      </c>
      <c r="Y61" s="4"/>
      <c r="Z61" s="5" t="s">
        <v>53</v>
      </c>
      <c r="AA61" s="4" t="s">
        <v>54</v>
      </c>
      <c r="AB61" s="4"/>
      <c r="AC61" s="5" t="s">
        <v>53</v>
      </c>
      <c r="AD61" s="4" t="s">
        <v>54</v>
      </c>
      <c r="AE61" s="4"/>
      <c r="AF61" s="4" t="s">
        <v>53</v>
      </c>
      <c r="AG61" s="4" t="s">
        <v>55</v>
      </c>
      <c r="AH61" s="5" t="s">
        <v>53</v>
      </c>
      <c r="AI61" s="4"/>
      <c r="AJ61" s="4"/>
    </row>
    <row r="62" ht="109.5" customHeight="1" spans="1:36" x14ac:dyDescent="0.25">
      <c r="A62" s="1" t="s">
        <v>35</v>
      </c>
      <c r="B62" s="1" t="s">
        <v>36</v>
      </c>
      <c r="C62" s="1" t="s">
        <v>640</v>
      </c>
      <c r="D62" s="1" t="s">
        <v>641</v>
      </c>
      <c r="E62" s="1">
        <f t="shared" si="0"/>
        <v>0.04</v>
      </c>
      <c r="F62" s="1" t="s">
        <v>665</v>
      </c>
      <c r="G62" s="1" t="s">
        <v>666</v>
      </c>
      <c r="H62" s="1">
        <f t="shared" si="12"/>
        <v>0.25</v>
      </c>
      <c r="I62" s="4" t="s">
        <v>667</v>
      </c>
      <c r="J62" s="4" t="s">
        <v>668</v>
      </c>
      <c r="K62" s="4" t="s">
        <v>669</v>
      </c>
      <c r="L62" s="4" t="s">
        <v>670</v>
      </c>
      <c r="M62" s="4" t="s">
        <v>671</v>
      </c>
      <c r="N62" s="1" t="s">
        <v>46</v>
      </c>
      <c r="O62" s="1" t="s">
        <v>47</v>
      </c>
      <c r="P62" t="s">
        <v>65</v>
      </c>
      <c r="Q62" s="4" t="s">
        <v>672</v>
      </c>
      <c r="R62" s="2"/>
      <c r="S62" s="1"/>
      <c r="T62" s="1"/>
      <c r="U62" s="4" t="s">
        <v>673</v>
      </c>
      <c r="V62" s="4" t="s">
        <v>52</v>
      </c>
      <c r="W62" s="5" t="s">
        <v>53</v>
      </c>
      <c r="X62" s="4" t="s">
        <v>54</v>
      </c>
      <c r="Y62" s="4"/>
      <c r="Z62" s="5" t="s">
        <v>53</v>
      </c>
      <c r="AA62" s="4" t="s">
        <v>54</v>
      </c>
      <c r="AB62" s="4"/>
      <c r="AC62" s="5" t="s">
        <v>53</v>
      </c>
      <c r="AD62" s="4" t="s">
        <v>54</v>
      </c>
      <c r="AE62" s="4"/>
      <c r="AF62" s="4" t="s">
        <v>53</v>
      </c>
      <c r="AG62" s="4" t="s">
        <v>55</v>
      </c>
      <c r="AH62" s="5" t="s">
        <v>53</v>
      </c>
      <c r="AI62" s="4"/>
      <c r="AJ62" s="4"/>
    </row>
    <row r="63" ht="101.25" customHeight="1" spans="1:36" x14ac:dyDescent="0.25">
      <c r="A63" s="1" t="s">
        <v>35</v>
      </c>
      <c r="B63" s="1" t="s">
        <v>36</v>
      </c>
      <c r="C63" s="1" t="s">
        <v>640</v>
      </c>
      <c r="D63" s="1" t="s">
        <v>641</v>
      </c>
      <c r="E63" s="1">
        <f t="shared" si="0"/>
        <v>0.04</v>
      </c>
      <c r="F63" s="1" t="s">
        <v>674</v>
      </c>
      <c r="G63" s="1" t="s">
        <v>675</v>
      </c>
      <c r="H63" s="1">
        <f t="shared" si="12"/>
        <v>0.25</v>
      </c>
      <c r="I63" s="4" t="s">
        <v>676</v>
      </c>
      <c r="J63" s="4" t="s">
        <v>677</v>
      </c>
      <c r="K63" s="4" t="s">
        <v>678</v>
      </c>
      <c r="L63" s="4" t="s">
        <v>679</v>
      </c>
      <c r="M63" s="4" t="s">
        <v>680</v>
      </c>
      <c r="N63" s="1" t="s">
        <v>46</v>
      </c>
      <c r="O63" s="1" t="s">
        <v>47</v>
      </c>
      <c r="P63" t="s">
        <v>65</v>
      </c>
      <c r="Q63" s="4" t="s">
        <v>681</v>
      </c>
      <c r="R63" s="2"/>
      <c r="S63" s="1"/>
      <c r="T63" s="1" t="s">
        <v>319</v>
      </c>
      <c r="U63" s="4" t="s">
        <v>682</v>
      </c>
      <c r="V63" s="4" t="s">
        <v>52</v>
      </c>
      <c r="W63" s="5" t="s">
        <v>53</v>
      </c>
      <c r="X63" s="4" t="s">
        <v>54</v>
      </c>
      <c r="Y63" s="4"/>
      <c r="Z63" s="5" t="s">
        <v>53</v>
      </c>
      <c r="AA63" s="4" t="s">
        <v>54</v>
      </c>
      <c r="AB63" s="4"/>
      <c r="AC63" s="5" t="s">
        <v>53</v>
      </c>
      <c r="AD63" s="4" t="s">
        <v>54</v>
      </c>
      <c r="AE63" s="4"/>
      <c r="AF63" s="4" t="s">
        <v>53</v>
      </c>
      <c r="AG63" s="4" t="s">
        <v>55</v>
      </c>
      <c r="AH63" s="5" t="s">
        <v>53</v>
      </c>
      <c r="AI63" s="4"/>
      <c r="AJ63" s="4"/>
    </row>
    <row r="64" ht="124.5" customHeight="1" spans="1:36" x14ac:dyDescent="0.25">
      <c r="A64" s="1" t="s">
        <v>35</v>
      </c>
      <c r="B64" s="1" t="s">
        <v>36</v>
      </c>
      <c r="C64" s="1" t="s">
        <v>683</v>
      </c>
      <c r="D64" s="1" t="s">
        <v>684</v>
      </c>
      <c r="E64" s="1">
        <f t="shared" si="0"/>
        <v>0.04</v>
      </c>
      <c r="F64" s="1" t="s">
        <v>685</v>
      </c>
      <c r="G64" s="1" t="s">
        <v>686</v>
      </c>
      <c r="H64" s="1">
        <f t="shared" ref="H64:H72" si="13">1/9</f>
        <v>0.1111111111</v>
      </c>
      <c r="I64" s="4" t="s">
        <v>687</v>
      </c>
      <c r="J64" s="4" t="s">
        <v>688</v>
      </c>
      <c r="K64" s="4" t="s">
        <v>689</v>
      </c>
      <c r="L64" s="4" t="s">
        <v>690</v>
      </c>
      <c r="M64" s="4" t="s">
        <v>691</v>
      </c>
      <c r="N64" s="1" t="s">
        <v>46</v>
      </c>
      <c r="O64" s="1" t="s">
        <v>47</v>
      </c>
      <c r="P64" t="s">
        <v>65</v>
      </c>
      <c r="Q64" s="4" t="s">
        <v>692</v>
      </c>
      <c r="R64" s="2"/>
      <c r="S64" s="1"/>
      <c r="T64" s="1"/>
      <c r="U64" s="4" t="s">
        <v>693</v>
      </c>
      <c r="V64" s="4" t="s">
        <v>52</v>
      </c>
      <c r="W64" s="5" t="s">
        <v>53</v>
      </c>
      <c r="X64" s="4" t="s">
        <v>54</v>
      </c>
      <c r="Y64" s="4"/>
      <c r="Z64" s="5" t="s">
        <v>53</v>
      </c>
      <c r="AA64" s="4" t="s">
        <v>54</v>
      </c>
      <c r="AB64" s="4"/>
      <c r="AC64" s="5" t="s">
        <v>53</v>
      </c>
      <c r="AD64" s="4" t="s">
        <v>54</v>
      </c>
      <c r="AE64" s="4"/>
      <c r="AF64" s="4" t="s">
        <v>53</v>
      </c>
      <c r="AG64" s="4" t="s">
        <v>55</v>
      </c>
      <c r="AH64" s="5" t="s">
        <v>53</v>
      </c>
      <c r="AI64" s="4"/>
      <c r="AJ64" s="4"/>
    </row>
    <row r="65" ht="154.5" customHeight="1" spans="1:36" x14ac:dyDescent="0.25">
      <c r="A65" s="1" t="s">
        <v>35</v>
      </c>
      <c r="B65" s="1" t="s">
        <v>36</v>
      </c>
      <c r="C65" s="1" t="s">
        <v>683</v>
      </c>
      <c r="D65" s="1" t="s">
        <v>684</v>
      </c>
      <c r="E65" s="1">
        <f t="shared" si="0"/>
        <v>0.04</v>
      </c>
      <c r="F65" s="1" t="s">
        <v>694</v>
      </c>
      <c r="G65" s="1" t="s">
        <v>695</v>
      </c>
      <c r="H65" s="1">
        <f t="shared" si="13"/>
        <v>0.1111111111</v>
      </c>
      <c r="I65" s="4" t="s">
        <v>696</v>
      </c>
      <c r="J65" s="4" t="s">
        <v>697</v>
      </c>
      <c r="K65" s="4" t="s">
        <v>698</v>
      </c>
      <c r="L65" s="4" t="s">
        <v>699</v>
      </c>
      <c r="M65" s="4" t="s">
        <v>700</v>
      </c>
      <c r="N65" s="1" t="s">
        <v>46</v>
      </c>
      <c r="O65" s="1" t="s">
        <v>47</v>
      </c>
      <c r="P65" t="s">
        <v>65</v>
      </c>
      <c r="Q65" s="4" t="s">
        <v>701</v>
      </c>
      <c r="R65" s="2"/>
      <c r="S65" s="1"/>
      <c r="T65" s="1"/>
      <c r="U65" s="4" t="s">
        <v>702</v>
      </c>
      <c r="V65" s="4" t="s">
        <v>52</v>
      </c>
      <c r="W65" s="5" t="s">
        <v>53</v>
      </c>
      <c r="X65" s="4" t="s">
        <v>54</v>
      </c>
      <c r="Y65" s="4"/>
      <c r="Z65" s="5" t="s">
        <v>53</v>
      </c>
      <c r="AA65" s="4" t="s">
        <v>54</v>
      </c>
      <c r="AB65" s="4"/>
      <c r="AC65" s="5" t="s">
        <v>53</v>
      </c>
      <c r="AD65" s="4" t="s">
        <v>54</v>
      </c>
      <c r="AE65" s="4"/>
      <c r="AF65" s="4" t="s">
        <v>53</v>
      </c>
      <c r="AG65" s="4" t="s">
        <v>55</v>
      </c>
      <c r="AH65" s="5" t="s">
        <v>53</v>
      </c>
      <c r="AI65" s="4"/>
      <c r="AJ65" s="4"/>
    </row>
    <row r="66" ht="124.5" customHeight="1" spans="1:36" x14ac:dyDescent="0.25">
      <c r="A66" s="1" t="s">
        <v>35</v>
      </c>
      <c r="B66" s="1" t="s">
        <v>36</v>
      </c>
      <c r="C66" s="1" t="s">
        <v>683</v>
      </c>
      <c r="D66" s="1" t="s">
        <v>684</v>
      </c>
      <c r="E66" s="1">
        <f t="shared" si="0"/>
        <v>0.04</v>
      </c>
      <c r="F66" s="1" t="s">
        <v>703</v>
      </c>
      <c r="G66" s="1" t="s">
        <v>704</v>
      </c>
      <c r="H66" s="1">
        <f t="shared" si="13"/>
        <v>0.1111111111</v>
      </c>
      <c r="I66" s="4" t="s">
        <v>705</v>
      </c>
      <c r="J66" s="4" t="s">
        <v>706</v>
      </c>
      <c r="K66" s="4" t="s">
        <v>707</v>
      </c>
      <c r="L66" s="4" t="s">
        <v>708</v>
      </c>
      <c r="M66" s="4" t="s">
        <v>709</v>
      </c>
      <c r="N66" s="1" t="s">
        <v>46</v>
      </c>
      <c r="O66" s="1" t="s">
        <v>47</v>
      </c>
      <c r="P66" t="s">
        <v>65</v>
      </c>
      <c r="Q66" s="4" t="s">
        <v>710</v>
      </c>
      <c r="R66" s="2"/>
      <c r="S66" s="1"/>
      <c r="T66" s="1"/>
      <c r="U66" s="4" t="s">
        <v>711</v>
      </c>
      <c r="V66" s="4" t="s">
        <v>52</v>
      </c>
      <c r="W66" s="5" t="s">
        <v>53</v>
      </c>
      <c r="X66" s="4" t="s">
        <v>54</v>
      </c>
      <c r="Y66" s="4"/>
      <c r="Z66" s="5" t="s">
        <v>53</v>
      </c>
      <c r="AA66" s="4" t="s">
        <v>54</v>
      </c>
      <c r="AB66" s="4"/>
      <c r="AC66" s="5" t="s">
        <v>53</v>
      </c>
      <c r="AD66" s="4" t="s">
        <v>54</v>
      </c>
      <c r="AE66" s="4"/>
      <c r="AF66" s="4" t="s">
        <v>53</v>
      </c>
      <c r="AG66" s="4" t="s">
        <v>55</v>
      </c>
      <c r="AH66" s="5" t="s">
        <v>53</v>
      </c>
      <c r="AI66" s="4"/>
      <c r="AJ66" s="4"/>
    </row>
    <row r="67" ht="124.5" customHeight="1" spans="1:36" x14ac:dyDescent="0.25">
      <c r="A67" s="1" t="s">
        <v>35</v>
      </c>
      <c r="B67" s="1" t="s">
        <v>36</v>
      </c>
      <c r="C67" s="1" t="s">
        <v>683</v>
      </c>
      <c r="D67" s="1" t="s">
        <v>684</v>
      </c>
      <c r="E67" s="1">
        <f t="shared" si="0"/>
        <v>0.04</v>
      </c>
      <c r="F67" s="1" t="s">
        <v>712</v>
      </c>
      <c r="G67" s="1" t="s">
        <v>713</v>
      </c>
      <c r="H67" s="1">
        <f t="shared" si="13"/>
        <v>0.1111111111</v>
      </c>
      <c r="I67" s="4" t="s">
        <v>714</v>
      </c>
      <c r="J67" s="4" t="s">
        <v>715</v>
      </c>
      <c r="K67" s="4" t="s">
        <v>716</v>
      </c>
      <c r="L67" s="4" t="s">
        <v>717</v>
      </c>
      <c r="M67" s="4" t="s">
        <v>718</v>
      </c>
      <c r="N67" s="1" t="s">
        <v>46</v>
      </c>
      <c r="O67" s="1" t="s">
        <v>47</v>
      </c>
      <c r="P67" t="s">
        <v>65</v>
      </c>
      <c r="Q67" s="4" t="s">
        <v>719</v>
      </c>
      <c r="R67" s="2"/>
      <c r="S67" s="1"/>
      <c r="T67" s="1"/>
      <c r="U67" s="4" t="s">
        <v>720</v>
      </c>
      <c r="V67" s="4" t="s">
        <v>721</v>
      </c>
      <c r="W67" s="5" t="s">
        <v>53</v>
      </c>
      <c r="X67" s="4" t="s">
        <v>54</v>
      </c>
      <c r="Y67" s="4"/>
      <c r="Z67" s="5" t="s">
        <v>53</v>
      </c>
      <c r="AA67" s="4" t="s">
        <v>54</v>
      </c>
      <c r="AB67" s="4"/>
      <c r="AC67" s="5" t="s">
        <v>53</v>
      </c>
      <c r="AD67" s="4" t="s">
        <v>54</v>
      </c>
      <c r="AE67" s="4"/>
      <c r="AF67" s="4" t="s">
        <v>53</v>
      </c>
      <c r="AG67" s="4" t="s">
        <v>55</v>
      </c>
      <c r="AH67" s="5" t="s">
        <v>53</v>
      </c>
      <c r="AI67" s="4"/>
      <c r="AJ67" s="4"/>
    </row>
    <row r="68" ht="101.25" customHeight="1" spans="1:36" x14ac:dyDescent="0.25">
      <c r="A68" s="1" t="s">
        <v>35</v>
      </c>
      <c r="B68" s="1" t="s">
        <v>36</v>
      </c>
      <c r="C68" s="1" t="s">
        <v>683</v>
      </c>
      <c r="D68" s="1" t="s">
        <v>684</v>
      </c>
      <c r="E68" s="1">
        <f t="shared" si="0"/>
        <v>0.04</v>
      </c>
      <c r="F68" s="1" t="s">
        <v>722</v>
      </c>
      <c r="G68" s="1" t="s">
        <v>723</v>
      </c>
      <c r="H68" s="1">
        <f t="shared" si="13"/>
        <v>0.1111111111</v>
      </c>
      <c r="I68" s="4" t="s">
        <v>724</v>
      </c>
      <c r="J68" s="4" t="s">
        <v>725</v>
      </c>
      <c r="K68" s="4" t="s">
        <v>726</v>
      </c>
      <c r="L68" s="4" t="s">
        <v>727</v>
      </c>
      <c r="M68" s="4" t="s">
        <v>728</v>
      </c>
      <c r="N68" s="1" t="s">
        <v>46</v>
      </c>
      <c r="O68" s="1" t="s">
        <v>47</v>
      </c>
      <c r="P68" t="s">
        <v>65</v>
      </c>
      <c r="Q68" s="4" t="s">
        <v>729</v>
      </c>
      <c r="R68" s="2"/>
      <c r="S68" s="1" t="s">
        <v>730</v>
      </c>
      <c r="T68" s="1" t="s">
        <v>731</v>
      </c>
      <c r="U68" s="4" t="s">
        <v>732</v>
      </c>
      <c r="V68" s="4" t="s">
        <v>52</v>
      </c>
      <c r="W68" s="5" t="s">
        <v>53</v>
      </c>
      <c r="X68" s="4" t="s">
        <v>54</v>
      </c>
      <c r="Y68" s="4"/>
      <c r="Z68" s="5" t="s">
        <v>53</v>
      </c>
      <c r="AA68" s="4" t="s">
        <v>54</v>
      </c>
      <c r="AB68" s="4"/>
      <c r="AC68" s="5" t="s">
        <v>53</v>
      </c>
      <c r="AD68" s="4" t="s">
        <v>54</v>
      </c>
      <c r="AE68" s="4"/>
      <c r="AF68" s="4" t="s">
        <v>53</v>
      </c>
      <c r="AG68" s="4" t="s">
        <v>55</v>
      </c>
      <c r="AH68" s="5" t="s">
        <v>53</v>
      </c>
      <c r="AI68" s="4"/>
      <c r="AJ68" s="4"/>
    </row>
    <row r="69" ht="101.25" customHeight="1" spans="1:36" x14ac:dyDescent="0.25">
      <c r="A69" s="1" t="s">
        <v>35</v>
      </c>
      <c r="B69" s="1" t="s">
        <v>36</v>
      </c>
      <c r="C69" s="1" t="s">
        <v>683</v>
      </c>
      <c r="D69" s="1" t="s">
        <v>684</v>
      </c>
      <c r="E69" s="1">
        <f t="shared" si="0"/>
        <v>0.04</v>
      </c>
      <c r="F69" s="1" t="s">
        <v>733</v>
      </c>
      <c r="G69" s="1" t="s">
        <v>734</v>
      </c>
      <c r="H69" s="1">
        <f t="shared" si="13"/>
        <v>0.1111111111</v>
      </c>
      <c r="I69" s="4" t="s">
        <v>735</v>
      </c>
      <c r="J69" s="4" t="s">
        <v>736</v>
      </c>
      <c r="K69" s="4" t="s">
        <v>737</v>
      </c>
      <c r="L69" s="4" t="s">
        <v>738</v>
      </c>
      <c r="M69" s="4" t="s">
        <v>739</v>
      </c>
      <c r="N69" s="1" t="s">
        <v>46</v>
      </c>
      <c r="O69" s="1" t="s">
        <v>47</v>
      </c>
      <c r="P69" t="s">
        <v>65</v>
      </c>
      <c r="Q69" s="4" t="s">
        <v>740</v>
      </c>
      <c r="R69" s="2"/>
      <c r="S69" s="1"/>
      <c r="T69" s="1"/>
      <c r="U69" s="4" t="s">
        <v>741</v>
      </c>
      <c r="V69" s="4" t="s">
        <v>742</v>
      </c>
      <c r="W69" s="5" t="s">
        <v>53</v>
      </c>
      <c r="X69" s="4" t="s">
        <v>54</v>
      </c>
      <c r="Y69" s="4"/>
      <c r="Z69" s="5" t="s">
        <v>53</v>
      </c>
      <c r="AA69" s="4" t="s">
        <v>54</v>
      </c>
      <c r="AB69" s="4"/>
      <c r="AC69" s="5" t="s">
        <v>53</v>
      </c>
      <c r="AD69" s="4" t="s">
        <v>54</v>
      </c>
      <c r="AE69" s="4"/>
      <c r="AF69" s="4" t="s">
        <v>53</v>
      </c>
      <c r="AG69" s="4" t="s">
        <v>55</v>
      </c>
      <c r="AH69" s="5" t="s">
        <v>53</v>
      </c>
      <c r="AI69" s="4"/>
      <c r="AJ69" s="4"/>
    </row>
    <row r="70" ht="101.25" customHeight="1" spans="1:36" x14ac:dyDescent="0.25">
      <c r="A70" s="1" t="s">
        <v>35</v>
      </c>
      <c r="B70" s="1" t="s">
        <v>36</v>
      </c>
      <c r="C70" s="1" t="s">
        <v>683</v>
      </c>
      <c r="D70" s="1" t="s">
        <v>684</v>
      </c>
      <c r="E70" s="1">
        <f t="shared" si="0"/>
        <v>0.04</v>
      </c>
      <c r="F70" s="1" t="s">
        <v>743</v>
      </c>
      <c r="G70" s="1" t="s">
        <v>744</v>
      </c>
      <c r="H70" s="1">
        <f t="shared" si="13"/>
        <v>0.1111111111</v>
      </c>
      <c r="I70" s="4" t="s">
        <v>745</v>
      </c>
      <c r="J70" s="4" t="s">
        <v>746</v>
      </c>
      <c r="K70" s="4" t="s">
        <v>747</v>
      </c>
      <c r="L70" s="4" t="s">
        <v>748</v>
      </c>
      <c r="M70" s="4" t="s">
        <v>749</v>
      </c>
      <c r="N70" s="1" t="s">
        <v>46</v>
      </c>
      <c r="O70" s="1" t="s">
        <v>47</v>
      </c>
      <c r="P70" t="s">
        <v>65</v>
      </c>
      <c r="Q70" s="4" t="s">
        <v>750</v>
      </c>
      <c r="R70" s="2"/>
      <c r="S70" s="1"/>
      <c r="T70" s="1" t="s">
        <v>319</v>
      </c>
      <c r="U70" s="4" t="s">
        <v>751</v>
      </c>
      <c r="V70" s="4" t="s">
        <v>52</v>
      </c>
      <c r="W70" s="5" t="s">
        <v>53</v>
      </c>
      <c r="X70" s="4" t="s">
        <v>54</v>
      </c>
      <c r="Y70" s="4"/>
      <c r="Z70" s="5" t="s">
        <v>53</v>
      </c>
      <c r="AA70" s="4" t="s">
        <v>54</v>
      </c>
      <c r="AB70" s="4"/>
      <c r="AC70" s="5" t="s">
        <v>53</v>
      </c>
      <c r="AD70" s="4" t="s">
        <v>54</v>
      </c>
      <c r="AE70" s="4"/>
      <c r="AF70" s="4" t="s">
        <v>53</v>
      </c>
      <c r="AG70" s="4" t="s">
        <v>55</v>
      </c>
      <c r="AH70" s="5" t="s">
        <v>53</v>
      </c>
      <c r="AI70" s="4"/>
      <c r="AJ70" s="4"/>
    </row>
    <row r="71" ht="101.25" customHeight="1" spans="1:36" x14ac:dyDescent="0.25">
      <c r="A71" s="1" t="s">
        <v>35</v>
      </c>
      <c r="B71" s="1" t="s">
        <v>36</v>
      </c>
      <c r="C71" s="1" t="s">
        <v>683</v>
      </c>
      <c r="D71" s="1" t="s">
        <v>684</v>
      </c>
      <c r="E71" s="1">
        <f t="shared" si="0"/>
        <v>0.04</v>
      </c>
      <c r="F71" s="1" t="s">
        <v>752</v>
      </c>
      <c r="G71" s="1" t="s">
        <v>753</v>
      </c>
      <c r="H71" s="1">
        <f t="shared" si="13"/>
        <v>0.1111111111</v>
      </c>
      <c r="I71" s="4" t="s">
        <v>754</v>
      </c>
      <c r="J71" s="4" t="s">
        <v>755</v>
      </c>
      <c r="K71" s="4" t="s">
        <v>756</v>
      </c>
      <c r="L71" s="4" t="s">
        <v>757</v>
      </c>
      <c r="M71" s="4" t="s">
        <v>758</v>
      </c>
      <c r="N71" s="1" t="s">
        <v>46</v>
      </c>
      <c r="O71" s="1" t="s">
        <v>47</v>
      </c>
      <c r="P71" t="s">
        <v>65</v>
      </c>
      <c r="Q71" s="4" t="s">
        <v>759</v>
      </c>
      <c r="R71" s="2"/>
      <c r="S71" s="1"/>
      <c r="T71" s="1" t="s">
        <v>319</v>
      </c>
      <c r="U71" s="4" t="s">
        <v>760</v>
      </c>
      <c r="V71" s="4" t="s">
        <v>52</v>
      </c>
      <c r="W71" s="5" t="s">
        <v>53</v>
      </c>
      <c r="X71" s="4" t="s">
        <v>54</v>
      </c>
      <c r="Y71" s="4"/>
      <c r="Z71" s="5" t="s">
        <v>53</v>
      </c>
      <c r="AA71" s="4" t="s">
        <v>54</v>
      </c>
      <c r="AB71" s="4"/>
      <c r="AC71" s="5" t="s">
        <v>53</v>
      </c>
      <c r="AD71" s="4" t="s">
        <v>54</v>
      </c>
      <c r="AE71" s="4"/>
      <c r="AF71" s="4" t="s">
        <v>53</v>
      </c>
      <c r="AG71" s="4" t="s">
        <v>55</v>
      </c>
      <c r="AH71" s="5" t="s">
        <v>53</v>
      </c>
      <c r="AI71" s="4"/>
      <c r="AJ71" s="4"/>
    </row>
    <row r="72" ht="101.25" customHeight="1" spans="1:36" x14ac:dyDescent="0.25">
      <c r="A72" s="1" t="s">
        <v>35</v>
      </c>
      <c r="B72" s="1" t="s">
        <v>36</v>
      </c>
      <c r="C72" s="1" t="s">
        <v>683</v>
      </c>
      <c r="D72" s="1" t="s">
        <v>684</v>
      </c>
      <c r="E72" s="1">
        <f t="shared" si="0"/>
        <v>0.04</v>
      </c>
      <c r="F72" s="1" t="s">
        <v>761</v>
      </c>
      <c r="G72" s="1" t="s">
        <v>762</v>
      </c>
      <c r="H72" s="1">
        <f t="shared" si="13"/>
        <v>0.1111111111</v>
      </c>
      <c r="I72" s="4" t="s">
        <v>763</v>
      </c>
      <c r="J72" s="4" t="s">
        <v>764</v>
      </c>
      <c r="K72" s="4" t="s">
        <v>765</v>
      </c>
      <c r="L72" s="4" t="s">
        <v>766</v>
      </c>
      <c r="M72" s="4" t="s">
        <v>767</v>
      </c>
      <c r="N72" s="1" t="s">
        <v>46</v>
      </c>
      <c r="O72" s="1" t="s">
        <v>47</v>
      </c>
      <c r="P72" t="s">
        <v>65</v>
      </c>
      <c r="Q72" s="4" t="s">
        <v>768</v>
      </c>
      <c r="R72" s="2"/>
      <c r="S72" s="1"/>
      <c r="T72" s="1"/>
      <c r="U72" s="4" t="s">
        <v>769</v>
      </c>
      <c r="V72" s="4" t="s">
        <v>52</v>
      </c>
      <c r="W72" s="5" t="s">
        <v>53</v>
      </c>
      <c r="X72" s="4" t="s">
        <v>54</v>
      </c>
      <c r="Y72" s="4"/>
      <c r="Z72" s="5" t="s">
        <v>53</v>
      </c>
      <c r="AA72" s="4" t="s">
        <v>54</v>
      </c>
      <c r="AB72" s="4"/>
      <c r="AC72" s="5" t="s">
        <v>53</v>
      </c>
      <c r="AD72" s="4" t="s">
        <v>54</v>
      </c>
      <c r="AE72" s="4"/>
      <c r="AF72" s="4" t="s">
        <v>53</v>
      </c>
      <c r="AG72" s="4" t="s">
        <v>55</v>
      </c>
      <c r="AH72" s="5" t="s">
        <v>53</v>
      </c>
      <c r="AI72" s="4"/>
      <c r="AJ72" s="4"/>
    </row>
    <row r="73" ht="101.25" customHeight="1" spans="1:36" x14ac:dyDescent="0.25">
      <c r="A73" s="1" t="s">
        <v>35</v>
      </c>
      <c r="B73" s="1" t="s">
        <v>36</v>
      </c>
      <c r="C73" s="1" t="s">
        <v>770</v>
      </c>
      <c r="D73" s="1" t="s">
        <v>771</v>
      </c>
      <c r="E73" s="1">
        <f t="shared" si="0"/>
        <v>0.04</v>
      </c>
      <c r="F73" s="1" t="s">
        <v>772</v>
      </c>
      <c r="G73" s="1" t="s">
        <v>773</v>
      </c>
      <c r="H73" s="1">
        <f t="shared" ref="H73:H77" si="14">1/5</f>
        <v>0.2</v>
      </c>
      <c r="I73" s="4" t="s">
        <v>774</v>
      </c>
      <c r="J73" s="4" t="s">
        <v>775</v>
      </c>
      <c r="K73" s="4" t="s">
        <v>776</v>
      </c>
      <c r="L73" s="4" t="s">
        <v>777</v>
      </c>
      <c r="M73" s="4" t="s">
        <v>778</v>
      </c>
      <c r="N73" s="1" t="s">
        <v>46</v>
      </c>
      <c r="O73" s="1" t="s">
        <v>47</v>
      </c>
      <c r="P73" t="s">
        <v>65</v>
      </c>
      <c r="Q73" s="4" t="s">
        <v>779</v>
      </c>
      <c r="R73" s="2"/>
      <c r="S73" s="1" t="s">
        <v>780</v>
      </c>
      <c r="T73" s="1" t="s">
        <v>781</v>
      </c>
      <c r="U73" s="4" t="s">
        <v>782</v>
      </c>
      <c r="V73" s="4" t="s">
        <v>783</v>
      </c>
      <c r="W73" s="5" t="s">
        <v>53</v>
      </c>
      <c r="X73" s="4" t="s">
        <v>54</v>
      </c>
      <c r="Y73" s="4"/>
      <c r="Z73" s="5" t="s">
        <v>53</v>
      </c>
      <c r="AA73" s="4" t="s">
        <v>54</v>
      </c>
      <c r="AB73" s="4"/>
      <c r="AC73" s="5" t="s">
        <v>53</v>
      </c>
      <c r="AD73" s="4" t="s">
        <v>54</v>
      </c>
      <c r="AE73" s="4"/>
      <c r="AF73" s="4" t="s">
        <v>53</v>
      </c>
      <c r="AG73" s="4" t="s">
        <v>55</v>
      </c>
      <c r="AH73" s="5" t="s">
        <v>53</v>
      </c>
      <c r="AI73" s="4"/>
      <c r="AJ73" s="4"/>
    </row>
    <row r="74" ht="101.25" customHeight="1" spans="1:36" x14ac:dyDescent="0.25">
      <c r="A74" s="1" t="s">
        <v>35</v>
      </c>
      <c r="B74" s="1" t="s">
        <v>36</v>
      </c>
      <c r="C74" s="1" t="s">
        <v>770</v>
      </c>
      <c r="D74" s="1" t="s">
        <v>771</v>
      </c>
      <c r="E74" s="1">
        <f t="shared" si="0"/>
        <v>0.04</v>
      </c>
      <c r="F74" s="1" t="s">
        <v>784</v>
      </c>
      <c r="G74" s="1" t="s">
        <v>785</v>
      </c>
      <c r="H74" s="1">
        <f t="shared" si="14"/>
        <v>0.2</v>
      </c>
      <c r="I74" s="4" t="s">
        <v>786</v>
      </c>
      <c r="J74" s="4" t="s">
        <v>787</v>
      </c>
      <c r="K74" s="4" t="s">
        <v>788</v>
      </c>
      <c r="L74" s="4" t="s">
        <v>789</v>
      </c>
      <c r="M74" s="4" t="s">
        <v>790</v>
      </c>
      <c r="N74" s="1" t="s">
        <v>46</v>
      </c>
      <c r="O74" s="1" t="s">
        <v>47</v>
      </c>
      <c r="P74" t="s">
        <v>65</v>
      </c>
      <c r="Q74" s="4" t="s">
        <v>791</v>
      </c>
      <c r="R74" s="2"/>
      <c r="S74" s="1"/>
      <c r="T74" s="1"/>
      <c r="U74" s="4" t="s">
        <v>792</v>
      </c>
      <c r="V74" s="4" t="s">
        <v>52</v>
      </c>
      <c r="W74" s="5" t="s">
        <v>53</v>
      </c>
      <c r="X74" s="4" t="s">
        <v>54</v>
      </c>
      <c r="Y74" s="4"/>
      <c r="Z74" s="5" t="s">
        <v>53</v>
      </c>
      <c r="AA74" s="4" t="s">
        <v>54</v>
      </c>
      <c r="AB74" s="4"/>
      <c r="AC74" s="5" t="s">
        <v>53</v>
      </c>
      <c r="AD74" s="4" t="s">
        <v>54</v>
      </c>
      <c r="AE74" s="4"/>
      <c r="AF74" s="4" t="s">
        <v>53</v>
      </c>
      <c r="AG74" s="4" t="s">
        <v>55</v>
      </c>
      <c r="AH74" s="5" t="s">
        <v>53</v>
      </c>
      <c r="AI74" s="4"/>
      <c r="AJ74" s="4"/>
    </row>
    <row r="75" ht="101.25" customHeight="1" spans="1:36" x14ac:dyDescent="0.25">
      <c r="A75" s="1" t="s">
        <v>35</v>
      </c>
      <c r="B75" s="1" t="s">
        <v>36</v>
      </c>
      <c r="C75" s="1" t="s">
        <v>770</v>
      </c>
      <c r="D75" s="1" t="s">
        <v>771</v>
      </c>
      <c r="E75" s="1">
        <f t="shared" si="0"/>
        <v>0.04</v>
      </c>
      <c r="F75" s="1" t="s">
        <v>793</v>
      </c>
      <c r="G75" s="1" t="s">
        <v>794</v>
      </c>
      <c r="H75" s="1">
        <f t="shared" si="14"/>
        <v>0.2</v>
      </c>
      <c r="I75" s="4" t="s">
        <v>795</v>
      </c>
      <c r="J75" s="4" t="s">
        <v>796</v>
      </c>
      <c r="K75" s="4" t="s">
        <v>797</v>
      </c>
      <c r="L75" s="4" t="s">
        <v>798</v>
      </c>
      <c r="M75" s="4" t="s">
        <v>799</v>
      </c>
      <c r="N75" s="1" t="s">
        <v>46</v>
      </c>
      <c r="O75" s="1" t="s">
        <v>47</v>
      </c>
      <c r="P75" t="s">
        <v>65</v>
      </c>
      <c r="Q75" s="4" t="s">
        <v>800</v>
      </c>
      <c r="R75" s="2"/>
      <c r="S75" s="1" t="s">
        <v>780</v>
      </c>
      <c r="T75" s="1" t="s">
        <v>781</v>
      </c>
      <c r="U75" s="4" t="s">
        <v>801</v>
      </c>
      <c r="V75" s="4" t="s">
        <v>52</v>
      </c>
      <c r="W75" s="4">
        <v>4</v>
      </c>
      <c r="X75" s="4" t="s">
        <v>802</v>
      </c>
      <c r="Y75" s="4" t="s">
        <v>377</v>
      </c>
      <c r="Z75" s="5" t="s">
        <v>53</v>
      </c>
      <c r="AA75" s="4" t="s">
        <v>54</v>
      </c>
      <c r="AB75" s="4"/>
      <c r="AC75" s="4">
        <v>5</v>
      </c>
      <c r="AD75" s="4" t="s">
        <v>803</v>
      </c>
      <c r="AE75" s="4" t="s">
        <v>377</v>
      </c>
      <c r="AF75" s="4" t="s">
        <v>804</v>
      </c>
      <c r="AG75" s="4" t="s">
        <v>805</v>
      </c>
      <c r="AH75" s="5" t="s">
        <v>53</v>
      </c>
      <c r="AI75" s="4"/>
      <c r="AJ75" s="4"/>
    </row>
    <row r="76" ht="101.25" customHeight="1" spans="1:36" x14ac:dyDescent="0.25">
      <c r="A76" s="1" t="s">
        <v>35</v>
      </c>
      <c r="B76" s="1" t="s">
        <v>36</v>
      </c>
      <c r="C76" s="1" t="s">
        <v>770</v>
      </c>
      <c r="D76" s="1" t="s">
        <v>771</v>
      </c>
      <c r="E76" s="1">
        <f t="shared" si="0"/>
        <v>0.04</v>
      </c>
      <c r="F76" s="1" t="s">
        <v>806</v>
      </c>
      <c r="G76" s="1" t="s">
        <v>807</v>
      </c>
      <c r="H76" s="1">
        <f t="shared" si="14"/>
        <v>0.2</v>
      </c>
      <c r="I76" s="4" t="s">
        <v>808</v>
      </c>
      <c r="J76" s="4" t="s">
        <v>809</v>
      </c>
      <c r="K76" s="4" t="s">
        <v>810</v>
      </c>
      <c r="L76" s="4" t="s">
        <v>811</v>
      </c>
      <c r="M76" s="4" t="s">
        <v>812</v>
      </c>
      <c r="N76" s="1" t="s">
        <v>46</v>
      </c>
      <c r="O76" s="1" t="s">
        <v>47</v>
      </c>
      <c r="P76" t="s">
        <v>65</v>
      </c>
      <c r="Q76" s="4" t="s">
        <v>813</v>
      </c>
      <c r="R76" s="2"/>
      <c r="S76" s="1"/>
      <c r="T76" s="1"/>
      <c r="U76" s="4" t="s">
        <v>814</v>
      </c>
      <c r="V76" s="4" t="s">
        <v>52</v>
      </c>
      <c r="W76" s="5" t="s">
        <v>53</v>
      </c>
      <c r="X76" s="4" t="s">
        <v>54</v>
      </c>
      <c r="Y76" s="4"/>
      <c r="Z76" s="5" t="s">
        <v>53</v>
      </c>
      <c r="AA76" s="4" t="s">
        <v>54</v>
      </c>
      <c r="AB76" s="4"/>
      <c r="AC76" s="5" t="s">
        <v>53</v>
      </c>
      <c r="AD76" s="4" t="s">
        <v>54</v>
      </c>
      <c r="AE76" s="4"/>
      <c r="AF76" s="4" t="s">
        <v>53</v>
      </c>
      <c r="AG76" s="4" t="s">
        <v>55</v>
      </c>
      <c r="AH76" s="5" t="s">
        <v>53</v>
      </c>
      <c r="AI76" s="4"/>
      <c r="AJ76" s="4"/>
    </row>
    <row r="77" ht="101.25" customHeight="1" spans="1:36" x14ac:dyDescent="0.25">
      <c r="A77" s="1" t="s">
        <v>35</v>
      </c>
      <c r="B77" s="1" t="s">
        <v>36</v>
      </c>
      <c r="C77" s="1" t="s">
        <v>770</v>
      </c>
      <c r="D77" s="1" t="s">
        <v>771</v>
      </c>
      <c r="E77" s="1">
        <f t="shared" si="0"/>
        <v>0.04</v>
      </c>
      <c r="F77" s="1" t="s">
        <v>815</v>
      </c>
      <c r="G77" s="1" t="s">
        <v>816</v>
      </c>
      <c r="H77" s="1">
        <f t="shared" si="14"/>
        <v>0.2</v>
      </c>
      <c r="I77" s="4" t="s">
        <v>817</v>
      </c>
      <c r="J77" s="4" t="s">
        <v>818</v>
      </c>
      <c r="K77" s="4" t="s">
        <v>819</v>
      </c>
      <c r="L77" s="4" t="s">
        <v>820</v>
      </c>
      <c r="M77" s="4" t="s">
        <v>821</v>
      </c>
      <c r="N77" s="1" t="s">
        <v>46</v>
      </c>
      <c r="O77" s="1" t="s">
        <v>47</v>
      </c>
      <c r="P77" t="s">
        <v>65</v>
      </c>
      <c r="Q77" s="4" t="s">
        <v>822</v>
      </c>
      <c r="R77" s="2"/>
      <c r="S77" s="1"/>
      <c r="T77" s="1"/>
      <c r="U77" s="4" t="s">
        <v>823</v>
      </c>
      <c r="V77" s="4" t="s">
        <v>52</v>
      </c>
      <c r="W77" s="5" t="s">
        <v>53</v>
      </c>
      <c r="X77" s="4" t="s">
        <v>54</v>
      </c>
      <c r="Y77" s="4"/>
      <c r="Z77" s="5" t="s">
        <v>53</v>
      </c>
      <c r="AA77" s="4" t="s">
        <v>54</v>
      </c>
      <c r="AB77" s="4"/>
      <c r="AC77" s="5" t="s">
        <v>53</v>
      </c>
      <c r="AD77" s="4" t="s">
        <v>54</v>
      </c>
      <c r="AE77" s="4"/>
      <c r="AF77" s="4" t="s">
        <v>53</v>
      </c>
      <c r="AG77" s="4" t="s">
        <v>55</v>
      </c>
      <c r="AH77" s="5" t="s">
        <v>53</v>
      </c>
      <c r="AI77" s="4"/>
      <c r="AJ77" s="4"/>
    </row>
    <row r="78" ht="101.25" customHeight="1" spans="1:36" x14ac:dyDescent="0.25">
      <c r="A78" s="1" t="s">
        <v>35</v>
      </c>
      <c r="B78" s="1" t="s">
        <v>36</v>
      </c>
      <c r="C78" s="1" t="s">
        <v>824</v>
      </c>
      <c r="D78" s="1" t="s">
        <v>825</v>
      </c>
      <c r="E78" s="1">
        <f t="shared" si="0"/>
        <v>0.04</v>
      </c>
      <c r="F78" s="1" t="s">
        <v>826</v>
      </c>
      <c r="G78" s="1" t="s">
        <v>827</v>
      </c>
      <c r="H78" s="1">
        <f t="shared" ref="H78:H80" si="15">1/3</f>
        <v>0.3333333333</v>
      </c>
      <c r="I78" s="4" t="s">
        <v>828</v>
      </c>
      <c r="J78" s="4" t="s">
        <v>829</v>
      </c>
      <c r="K78" s="4" t="s">
        <v>830</v>
      </c>
      <c r="L78" s="4" t="s">
        <v>831</v>
      </c>
      <c r="M78" s="4" t="s">
        <v>832</v>
      </c>
      <c r="N78" s="1" t="s">
        <v>46</v>
      </c>
      <c r="O78" s="1" t="s">
        <v>47</v>
      </c>
      <c r="P78" t="s">
        <v>65</v>
      </c>
      <c r="Q78" s="4" t="s">
        <v>833</v>
      </c>
      <c r="R78" s="2"/>
      <c r="S78" s="1"/>
      <c r="T78" s="1"/>
      <c r="U78" s="4" t="s">
        <v>834</v>
      </c>
      <c r="V78" s="4" t="s">
        <v>835</v>
      </c>
      <c r="W78" s="4">
        <v>3</v>
      </c>
      <c r="X78" s="4" t="s">
        <v>836</v>
      </c>
      <c r="Y78" s="4" t="s">
        <v>331</v>
      </c>
      <c r="Z78" s="4">
        <v>4</v>
      </c>
      <c r="AA78" s="4" t="s">
        <v>837</v>
      </c>
      <c r="AB78" s="4" t="s">
        <v>377</v>
      </c>
      <c r="AC78" s="5" t="s">
        <v>53</v>
      </c>
      <c r="AD78" s="4" t="s">
        <v>54</v>
      </c>
      <c r="AE78" s="4"/>
      <c r="AF78" s="4" t="s">
        <v>838</v>
      </c>
      <c r="AG78" s="4" t="s">
        <v>839</v>
      </c>
      <c r="AH78" s="5" t="s">
        <v>53</v>
      </c>
      <c r="AI78" s="4"/>
      <c r="AJ78" s="4"/>
    </row>
    <row r="79" ht="101.25" customHeight="1" spans="1:36" x14ac:dyDescent="0.25">
      <c r="A79" s="1" t="s">
        <v>35</v>
      </c>
      <c r="B79" s="1" t="s">
        <v>36</v>
      </c>
      <c r="C79" s="1" t="s">
        <v>824</v>
      </c>
      <c r="D79" s="1" t="s">
        <v>825</v>
      </c>
      <c r="E79" s="1">
        <f t="shared" si="0"/>
        <v>0.04</v>
      </c>
      <c r="F79" s="1" t="s">
        <v>840</v>
      </c>
      <c r="G79" s="1" t="s">
        <v>841</v>
      </c>
      <c r="H79" s="1">
        <f t="shared" si="15"/>
        <v>0.3333333333</v>
      </c>
      <c r="I79" s="4" t="s">
        <v>842</v>
      </c>
      <c r="J79" s="4" t="s">
        <v>843</v>
      </c>
      <c r="K79" s="4" t="s">
        <v>844</v>
      </c>
      <c r="L79" s="4" t="s">
        <v>845</v>
      </c>
      <c r="M79" s="4" t="s">
        <v>846</v>
      </c>
      <c r="N79" s="1" t="s">
        <v>46</v>
      </c>
      <c r="O79" s="1" t="s">
        <v>47</v>
      </c>
      <c r="P79" t="s">
        <v>65</v>
      </c>
      <c r="Q79" s="4" t="s">
        <v>847</v>
      </c>
      <c r="R79" s="2"/>
      <c r="S79" s="1"/>
      <c r="T79" s="1"/>
      <c r="U79" s="4" t="s">
        <v>848</v>
      </c>
      <c r="V79" s="4" t="s">
        <v>52</v>
      </c>
      <c r="W79" s="5" t="s">
        <v>53</v>
      </c>
      <c r="X79" s="4" t="s">
        <v>54</v>
      </c>
      <c r="Y79" s="4"/>
      <c r="Z79" s="5" t="s">
        <v>53</v>
      </c>
      <c r="AA79" s="4" t="s">
        <v>54</v>
      </c>
      <c r="AB79" s="4"/>
      <c r="AC79" s="5" t="s">
        <v>53</v>
      </c>
      <c r="AD79" s="4" t="s">
        <v>54</v>
      </c>
      <c r="AE79" s="4"/>
      <c r="AF79" s="4" t="s">
        <v>53</v>
      </c>
      <c r="AG79" s="4" t="s">
        <v>55</v>
      </c>
      <c r="AH79" s="5" t="s">
        <v>53</v>
      </c>
      <c r="AI79" s="4"/>
      <c r="AJ79" s="4"/>
    </row>
    <row r="80" ht="101.25" customHeight="1" spans="1:36" x14ac:dyDescent="0.25">
      <c r="A80" s="1" t="s">
        <v>35</v>
      </c>
      <c r="B80" s="1" t="s">
        <v>36</v>
      </c>
      <c r="C80" s="1" t="s">
        <v>824</v>
      </c>
      <c r="D80" s="1" t="s">
        <v>825</v>
      </c>
      <c r="E80" s="1">
        <f t="shared" si="0"/>
        <v>0.04</v>
      </c>
      <c r="F80" s="1" t="s">
        <v>849</v>
      </c>
      <c r="G80" s="1" t="s">
        <v>850</v>
      </c>
      <c r="H80" s="1">
        <f t="shared" si="15"/>
        <v>0.3333333333</v>
      </c>
      <c r="I80" s="4" t="s">
        <v>851</v>
      </c>
      <c r="J80" s="4" t="s">
        <v>852</v>
      </c>
      <c r="K80" s="4" t="s">
        <v>853</v>
      </c>
      <c r="L80" s="4" t="s">
        <v>854</v>
      </c>
      <c r="M80" s="4" t="s">
        <v>855</v>
      </c>
      <c r="N80" s="1" t="s">
        <v>46</v>
      </c>
      <c r="O80" s="1" t="s">
        <v>47</v>
      </c>
      <c r="P80" t="s">
        <v>65</v>
      </c>
      <c r="Q80" s="4" t="s">
        <v>856</v>
      </c>
      <c r="R80" s="2"/>
      <c r="S80" s="1"/>
      <c r="T80" s="1"/>
      <c r="U80" s="4" t="s">
        <v>857</v>
      </c>
      <c r="V80" s="4" t="s">
        <v>52</v>
      </c>
      <c r="W80" s="5" t="s">
        <v>53</v>
      </c>
      <c r="X80" s="4" t="s">
        <v>54</v>
      </c>
      <c r="Y80" s="4"/>
      <c r="Z80" s="5" t="s">
        <v>53</v>
      </c>
      <c r="AA80" s="4" t="s">
        <v>54</v>
      </c>
      <c r="AB80" s="4"/>
      <c r="AC80" s="5" t="s">
        <v>53</v>
      </c>
      <c r="AD80" s="4" t="s">
        <v>54</v>
      </c>
      <c r="AE80" s="4"/>
      <c r="AF80" s="4" t="s">
        <v>53</v>
      </c>
      <c r="AG80" s="4" t="s">
        <v>55</v>
      </c>
      <c r="AH80" s="5" t="s">
        <v>53</v>
      </c>
      <c r="AI80" s="4"/>
      <c r="AJ80" s="4"/>
    </row>
    <row r="81" ht="101.25" customHeight="1" spans="1:36" x14ac:dyDescent="0.25">
      <c r="A81" s="1" t="s">
        <v>35</v>
      </c>
      <c r="B81" s="1" t="s">
        <v>36</v>
      </c>
      <c r="C81" s="1" t="s">
        <v>858</v>
      </c>
      <c r="D81" s="1" t="s">
        <v>859</v>
      </c>
      <c r="E81" s="1">
        <f t="shared" si="0"/>
        <v>0.04</v>
      </c>
      <c r="F81" s="1" t="s">
        <v>860</v>
      </c>
      <c r="G81" s="1" t="s">
        <v>861</v>
      </c>
      <c r="H81" s="1">
        <f t="shared" ref="H81:H89" si="16">1/9</f>
        <v>0.1111111111</v>
      </c>
      <c r="I81" s="4" t="s">
        <v>862</v>
      </c>
      <c r="J81" s="4" t="s">
        <v>863</v>
      </c>
      <c r="K81" s="4" t="s">
        <v>864</v>
      </c>
      <c r="L81" s="4" t="s">
        <v>865</v>
      </c>
      <c r="M81" s="4" t="s">
        <v>866</v>
      </c>
      <c r="N81" s="1" t="s">
        <v>46</v>
      </c>
      <c r="O81" s="1" t="s">
        <v>47</v>
      </c>
      <c r="P81" t="s">
        <v>65</v>
      </c>
      <c r="Q81" s="4" t="s">
        <v>867</v>
      </c>
      <c r="R81" s="2"/>
      <c r="S81" s="1"/>
      <c r="T81" s="1"/>
      <c r="U81" s="4" t="s">
        <v>868</v>
      </c>
      <c r="V81" s="4" t="s">
        <v>52</v>
      </c>
      <c r="W81" s="5" t="s">
        <v>53</v>
      </c>
      <c r="X81" s="4" t="s">
        <v>54</v>
      </c>
      <c r="Y81" s="4"/>
      <c r="Z81" s="5" t="s">
        <v>53</v>
      </c>
      <c r="AA81" s="4" t="s">
        <v>54</v>
      </c>
      <c r="AB81" s="4"/>
      <c r="AC81" s="5" t="s">
        <v>53</v>
      </c>
      <c r="AD81" s="4" t="s">
        <v>54</v>
      </c>
      <c r="AE81" s="4"/>
      <c r="AF81" s="4" t="s">
        <v>53</v>
      </c>
      <c r="AG81" s="4" t="s">
        <v>55</v>
      </c>
      <c r="AH81" s="5" t="s">
        <v>53</v>
      </c>
      <c r="AI81" s="4"/>
      <c r="AJ81" s="4"/>
    </row>
    <row r="82" ht="109.5" customHeight="1" spans="1:36" x14ac:dyDescent="0.25">
      <c r="A82" s="1" t="s">
        <v>35</v>
      </c>
      <c r="B82" s="1" t="s">
        <v>36</v>
      </c>
      <c r="C82" s="1" t="s">
        <v>858</v>
      </c>
      <c r="D82" s="1" t="s">
        <v>859</v>
      </c>
      <c r="E82" s="1">
        <f t="shared" si="0"/>
        <v>0.04</v>
      </c>
      <c r="F82" s="1" t="s">
        <v>869</v>
      </c>
      <c r="G82" s="1" t="s">
        <v>870</v>
      </c>
      <c r="H82" s="1">
        <f t="shared" si="16"/>
        <v>0.1111111111</v>
      </c>
      <c r="I82" s="4" t="s">
        <v>871</v>
      </c>
      <c r="J82" s="4" t="s">
        <v>872</v>
      </c>
      <c r="K82" s="4" t="s">
        <v>873</v>
      </c>
      <c r="L82" s="4" t="s">
        <v>874</v>
      </c>
      <c r="M82" s="4" t="s">
        <v>875</v>
      </c>
      <c r="N82" s="1" t="s">
        <v>46</v>
      </c>
      <c r="O82" s="1" t="s">
        <v>47</v>
      </c>
      <c r="P82" t="s">
        <v>65</v>
      </c>
      <c r="Q82" s="4" t="s">
        <v>876</v>
      </c>
      <c r="R82" s="2"/>
      <c r="S82" s="1"/>
      <c r="T82" s="1"/>
      <c r="U82" s="4" t="s">
        <v>877</v>
      </c>
      <c r="V82" s="4" t="s">
        <v>52</v>
      </c>
      <c r="W82" s="5" t="s">
        <v>53</v>
      </c>
      <c r="X82" s="4" t="s">
        <v>54</v>
      </c>
      <c r="Y82" s="4"/>
      <c r="Z82" s="5" t="s">
        <v>53</v>
      </c>
      <c r="AA82" s="4" t="s">
        <v>54</v>
      </c>
      <c r="AB82" s="4"/>
      <c r="AC82" s="5" t="s">
        <v>53</v>
      </c>
      <c r="AD82" s="4" t="s">
        <v>54</v>
      </c>
      <c r="AE82" s="4"/>
      <c r="AF82" s="4" t="s">
        <v>53</v>
      </c>
      <c r="AG82" s="4" t="s">
        <v>55</v>
      </c>
      <c r="AH82" s="5" t="s">
        <v>53</v>
      </c>
      <c r="AI82" s="4"/>
      <c r="AJ82" s="4"/>
    </row>
    <row r="83" ht="124.5" customHeight="1" spans="1:36" x14ac:dyDescent="0.25">
      <c r="A83" s="1" t="s">
        <v>35</v>
      </c>
      <c r="B83" s="1" t="s">
        <v>36</v>
      </c>
      <c r="C83" s="1" t="s">
        <v>858</v>
      </c>
      <c r="D83" s="1" t="s">
        <v>859</v>
      </c>
      <c r="E83" s="1">
        <f t="shared" si="0"/>
        <v>0.04</v>
      </c>
      <c r="F83" s="1" t="s">
        <v>878</v>
      </c>
      <c r="G83" s="1" t="s">
        <v>879</v>
      </c>
      <c r="H83" s="1">
        <f t="shared" si="16"/>
        <v>0.1111111111</v>
      </c>
      <c r="I83" s="4" t="s">
        <v>880</v>
      </c>
      <c r="J83" s="4" t="s">
        <v>881</v>
      </c>
      <c r="K83" s="4" t="s">
        <v>882</v>
      </c>
      <c r="L83" s="4" t="s">
        <v>883</v>
      </c>
      <c r="M83" s="4" t="s">
        <v>884</v>
      </c>
      <c r="N83" s="1" t="s">
        <v>46</v>
      </c>
      <c r="O83" s="1" t="s">
        <v>47</v>
      </c>
      <c r="P83" t="s">
        <v>65</v>
      </c>
      <c r="Q83" s="4" t="s">
        <v>885</v>
      </c>
      <c r="R83" s="2"/>
      <c r="S83" s="1"/>
      <c r="T83" s="1"/>
      <c r="U83" s="4" t="s">
        <v>886</v>
      </c>
      <c r="V83" s="4" t="s">
        <v>52</v>
      </c>
      <c r="W83" s="5" t="s">
        <v>53</v>
      </c>
      <c r="X83" s="4" t="s">
        <v>54</v>
      </c>
      <c r="Y83" s="4"/>
      <c r="Z83" s="5" t="s">
        <v>53</v>
      </c>
      <c r="AA83" s="4" t="s">
        <v>54</v>
      </c>
      <c r="AB83" s="4"/>
      <c r="AC83" s="5" t="s">
        <v>53</v>
      </c>
      <c r="AD83" s="4" t="s">
        <v>54</v>
      </c>
      <c r="AE83" s="4"/>
      <c r="AF83" s="4" t="s">
        <v>53</v>
      </c>
      <c r="AG83" s="4" t="s">
        <v>55</v>
      </c>
      <c r="AH83" s="5" t="s">
        <v>53</v>
      </c>
      <c r="AI83" s="4"/>
      <c r="AJ83" s="4"/>
    </row>
    <row r="84" ht="109.5" customHeight="1" spans="1:36" x14ac:dyDescent="0.25">
      <c r="A84" s="1" t="s">
        <v>35</v>
      </c>
      <c r="B84" s="1" t="s">
        <v>36</v>
      </c>
      <c r="C84" s="1" t="s">
        <v>858</v>
      </c>
      <c r="D84" s="1" t="s">
        <v>859</v>
      </c>
      <c r="E84" s="1">
        <f t="shared" si="0"/>
        <v>0.04</v>
      </c>
      <c r="F84" s="1" t="s">
        <v>887</v>
      </c>
      <c r="G84" s="1" t="s">
        <v>888</v>
      </c>
      <c r="H84" s="1">
        <f t="shared" si="16"/>
        <v>0.1111111111</v>
      </c>
      <c r="I84" s="4" t="s">
        <v>889</v>
      </c>
      <c r="J84" s="4" t="s">
        <v>890</v>
      </c>
      <c r="K84" s="4" t="s">
        <v>891</v>
      </c>
      <c r="L84" s="4" t="s">
        <v>892</v>
      </c>
      <c r="M84" s="4" t="s">
        <v>893</v>
      </c>
      <c r="N84" s="1" t="s">
        <v>46</v>
      </c>
      <c r="O84" s="1" t="s">
        <v>47</v>
      </c>
      <c r="P84" t="s">
        <v>65</v>
      </c>
      <c r="Q84" s="4" t="s">
        <v>894</v>
      </c>
      <c r="R84" s="2"/>
      <c r="S84" s="1"/>
      <c r="T84" s="1"/>
      <c r="U84" s="4" t="s">
        <v>895</v>
      </c>
      <c r="V84" s="4" t="s">
        <v>52</v>
      </c>
      <c r="W84" s="5" t="s">
        <v>53</v>
      </c>
      <c r="X84" s="4" t="s">
        <v>54</v>
      </c>
      <c r="Y84" s="4"/>
      <c r="Z84" s="5" t="s">
        <v>53</v>
      </c>
      <c r="AA84" s="4" t="s">
        <v>54</v>
      </c>
      <c r="AB84" s="4"/>
      <c r="AC84" s="5" t="s">
        <v>53</v>
      </c>
      <c r="AD84" s="4" t="s">
        <v>54</v>
      </c>
      <c r="AE84" s="4"/>
      <c r="AF84" s="4" t="s">
        <v>53</v>
      </c>
      <c r="AG84" s="4" t="s">
        <v>55</v>
      </c>
      <c r="AH84" s="5" t="s">
        <v>53</v>
      </c>
      <c r="AI84" s="4"/>
      <c r="AJ84" s="4"/>
    </row>
    <row r="85" ht="101.25" customHeight="1" spans="1:36" x14ac:dyDescent="0.25">
      <c r="A85" s="1" t="s">
        <v>35</v>
      </c>
      <c r="B85" s="1" t="s">
        <v>36</v>
      </c>
      <c r="C85" s="1" t="s">
        <v>858</v>
      </c>
      <c r="D85" s="1" t="s">
        <v>859</v>
      </c>
      <c r="E85" s="1">
        <f t="shared" si="0"/>
        <v>0.04</v>
      </c>
      <c r="F85" s="1" t="s">
        <v>896</v>
      </c>
      <c r="G85" s="1" t="s">
        <v>897</v>
      </c>
      <c r="H85" s="1">
        <f t="shared" si="16"/>
        <v>0.1111111111</v>
      </c>
      <c r="I85" s="4" t="s">
        <v>898</v>
      </c>
      <c r="J85" s="4" t="s">
        <v>899</v>
      </c>
      <c r="K85" s="4" t="s">
        <v>900</v>
      </c>
      <c r="L85" s="4" t="s">
        <v>901</v>
      </c>
      <c r="M85" s="4" t="s">
        <v>902</v>
      </c>
      <c r="N85" s="1" t="s">
        <v>46</v>
      </c>
      <c r="O85" s="1" t="s">
        <v>47</v>
      </c>
      <c r="P85" t="s">
        <v>65</v>
      </c>
      <c r="Q85" s="4" t="s">
        <v>903</v>
      </c>
      <c r="R85" s="2"/>
      <c r="S85" s="1"/>
      <c r="T85" s="1"/>
      <c r="U85" s="4" t="s">
        <v>904</v>
      </c>
      <c r="V85" s="4" t="s">
        <v>52</v>
      </c>
      <c r="W85" s="5" t="s">
        <v>53</v>
      </c>
      <c r="X85" s="4" t="s">
        <v>54</v>
      </c>
      <c r="Y85" s="4"/>
      <c r="Z85" s="5" t="s">
        <v>53</v>
      </c>
      <c r="AA85" s="4" t="s">
        <v>54</v>
      </c>
      <c r="AB85" s="4"/>
      <c r="AC85" s="5" t="s">
        <v>53</v>
      </c>
      <c r="AD85" s="4" t="s">
        <v>54</v>
      </c>
      <c r="AE85" s="4"/>
      <c r="AF85" s="4" t="s">
        <v>53</v>
      </c>
      <c r="AG85" s="4" t="s">
        <v>55</v>
      </c>
      <c r="AH85" s="5" t="s">
        <v>53</v>
      </c>
      <c r="AI85" s="4"/>
      <c r="AJ85" s="4"/>
    </row>
    <row r="86" ht="154.5" customHeight="1" spans="1:36" x14ac:dyDescent="0.25">
      <c r="A86" s="1" t="s">
        <v>35</v>
      </c>
      <c r="B86" s="1" t="s">
        <v>36</v>
      </c>
      <c r="C86" s="1" t="s">
        <v>858</v>
      </c>
      <c r="D86" s="1" t="s">
        <v>859</v>
      </c>
      <c r="E86" s="1">
        <f t="shared" si="0"/>
        <v>0.04</v>
      </c>
      <c r="F86" s="1" t="s">
        <v>905</v>
      </c>
      <c r="G86" s="1" t="s">
        <v>906</v>
      </c>
      <c r="H86" s="1">
        <f t="shared" si="16"/>
        <v>0.1111111111</v>
      </c>
      <c r="I86" s="4" t="s">
        <v>907</v>
      </c>
      <c r="J86" s="4" t="s">
        <v>908</v>
      </c>
      <c r="K86" s="4" t="s">
        <v>909</v>
      </c>
      <c r="L86" s="4" t="s">
        <v>910</v>
      </c>
      <c r="M86" s="4" t="s">
        <v>911</v>
      </c>
      <c r="N86" s="1" t="s">
        <v>46</v>
      </c>
      <c r="O86" s="1" t="s">
        <v>47</v>
      </c>
      <c r="P86" t="s">
        <v>65</v>
      </c>
      <c r="Q86" s="4" t="s">
        <v>912</v>
      </c>
      <c r="R86" s="2"/>
      <c r="S86" s="1"/>
      <c r="T86" s="1"/>
      <c r="U86" s="4" t="s">
        <v>913</v>
      </c>
      <c r="V86" s="4" t="s">
        <v>52</v>
      </c>
      <c r="W86" s="5" t="s">
        <v>53</v>
      </c>
      <c r="X86" s="4" t="s">
        <v>54</v>
      </c>
      <c r="Y86" s="4"/>
      <c r="Z86" s="5" t="s">
        <v>53</v>
      </c>
      <c r="AA86" s="4" t="s">
        <v>54</v>
      </c>
      <c r="AB86" s="4"/>
      <c r="AC86" s="5" t="s">
        <v>53</v>
      </c>
      <c r="AD86" s="4" t="s">
        <v>54</v>
      </c>
      <c r="AE86" s="4"/>
      <c r="AF86" s="4" t="s">
        <v>53</v>
      </c>
      <c r="AG86" s="4" t="s">
        <v>55</v>
      </c>
      <c r="AH86" s="5" t="s">
        <v>53</v>
      </c>
      <c r="AI86" s="4"/>
      <c r="AJ86" s="4"/>
    </row>
    <row r="87" ht="101.25" customHeight="1" spans="1:36" x14ac:dyDescent="0.25">
      <c r="A87" s="1" t="s">
        <v>35</v>
      </c>
      <c r="B87" s="1" t="s">
        <v>36</v>
      </c>
      <c r="C87" s="1" t="s">
        <v>858</v>
      </c>
      <c r="D87" s="1" t="s">
        <v>859</v>
      </c>
      <c r="E87" s="1">
        <f t="shared" si="0"/>
        <v>0.04</v>
      </c>
      <c r="F87" s="1" t="s">
        <v>914</v>
      </c>
      <c r="G87" s="1" t="s">
        <v>915</v>
      </c>
      <c r="H87" s="1">
        <f t="shared" si="16"/>
        <v>0.1111111111</v>
      </c>
      <c r="I87" s="4" t="s">
        <v>916</v>
      </c>
      <c r="J87" s="4" t="s">
        <v>917</v>
      </c>
      <c r="K87" s="4" t="s">
        <v>918</v>
      </c>
      <c r="L87" s="4" t="s">
        <v>919</v>
      </c>
      <c r="M87" s="4" t="s">
        <v>920</v>
      </c>
      <c r="N87" s="1" t="s">
        <v>46</v>
      </c>
      <c r="O87" s="1" t="s">
        <v>47</v>
      </c>
      <c r="P87" t="s">
        <v>65</v>
      </c>
      <c r="Q87" s="4" t="s">
        <v>921</v>
      </c>
      <c r="R87" s="2"/>
      <c r="S87" s="1"/>
      <c r="T87" s="1"/>
      <c r="U87" s="4" t="s">
        <v>922</v>
      </c>
      <c r="V87" s="4" t="s">
        <v>52</v>
      </c>
      <c r="W87" s="5" t="s">
        <v>53</v>
      </c>
      <c r="X87" s="4" t="s">
        <v>54</v>
      </c>
      <c r="Y87" s="4"/>
      <c r="Z87" s="5" t="s">
        <v>53</v>
      </c>
      <c r="AA87" s="4" t="s">
        <v>54</v>
      </c>
      <c r="AB87" s="4"/>
      <c r="AC87" s="5" t="s">
        <v>53</v>
      </c>
      <c r="AD87" s="4" t="s">
        <v>54</v>
      </c>
      <c r="AE87" s="4"/>
      <c r="AF87" s="4" t="s">
        <v>53</v>
      </c>
      <c r="AG87" s="4" t="s">
        <v>55</v>
      </c>
      <c r="AH87" s="5" t="s">
        <v>53</v>
      </c>
      <c r="AI87" s="4"/>
      <c r="AJ87" s="4"/>
    </row>
    <row r="88" ht="101.25" customHeight="1" spans="1:36" x14ac:dyDescent="0.25">
      <c r="A88" s="1" t="s">
        <v>35</v>
      </c>
      <c r="B88" s="1" t="s">
        <v>36</v>
      </c>
      <c r="C88" s="1" t="s">
        <v>858</v>
      </c>
      <c r="D88" s="1" t="s">
        <v>859</v>
      </c>
      <c r="E88" s="1">
        <f t="shared" si="0"/>
        <v>0.04</v>
      </c>
      <c r="F88" s="1" t="s">
        <v>923</v>
      </c>
      <c r="G88" s="1" t="s">
        <v>924</v>
      </c>
      <c r="H88" s="1">
        <f t="shared" si="16"/>
        <v>0.1111111111</v>
      </c>
      <c r="I88" s="4" t="s">
        <v>925</v>
      </c>
      <c r="J88" s="4" t="s">
        <v>926</v>
      </c>
      <c r="K88" s="4" t="s">
        <v>927</v>
      </c>
      <c r="L88" s="4" t="s">
        <v>928</v>
      </c>
      <c r="M88" s="4" t="s">
        <v>929</v>
      </c>
      <c r="N88" s="1" t="s">
        <v>46</v>
      </c>
      <c r="O88" s="1" t="s">
        <v>47</v>
      </c>
      <c r="P88" t="s">
        <v>65</v>
      </c>
      <c r="Q88" s="4" t="s">
        <v>930</v>
      </c>
      <c r="R88" s="2"/>
      <c r="S88" s="1"/>
      <c r="T88" s="1"/>
      <c r="U88" s="4" t="s">
        <v>931</v>
      </c>
      <c r="V88" s="4" t="s">
        <v>52</v>
      </c>
      <c r="W88" s="5" t="s">
        <v>53</v>
      </c>
      <c r="X88" s="5" t="s">
        <v>53</v>
      </c>
      <c r="Y88" s="5" t="s">
        <v>53</v>
      </c>
      <c r="Z88" s="5" t="s">
        <v>53</v>
      </c>
      <c r="AA88" s="5" t="s">
        <v>53</v>
      </c>
      <c r="AB88" s="5" t="s">
        <v>53</v>
      </c>
      <c r="AC88" s="5" t="s">
        <v>53</v>
      </c>
      <c r="AD88" s="5" t="s">
        <v>53</v>
      </c>
      <c r="AE88" s="5" t="s">
        <v>53</v>
      </c>
      <c r="AF88" s="4" t="s">
        <v>53</v>
      </c>
      <c r="AG88" s="4" t="s">
        <v>53</v>
      </c>
      <c r="AH88" s="5" t="s">
        <v>53</v>
      </c>
      <c r="AI88" s="5" t="s">
        <v>53</v>
      </c>
      <c r="AJ88" s="5" t="s">
        <v>53</v>
      </c>
    </row>
    <row r="89" ht="109.5" customHeight="1" spans="1:36" x14ac:dyDescent="0.25">
      <c r="A89" s="1" t="s">
        <v>35</v>
      </c>
      <c r="B89" s="1" t="s">
        <v>36</v>
      </c>
      <c r="C89" s="1" t="s">
        <v>858</v>
      </c>
      <c r="D89" s="1" t="s">
        <v>859</v>
      </c>
      <c r="E89" s="1">
        <f t="shared" si="0"/>
        <v>0.04</v>
      </c>
      <c r="F89" s="1" t="s">
        <v>932</v>
      </c>
      <c r="G89" s="1" t="s">
        <v>933</v>
      </c>
      <c r="H89" s="1">
        <f t="shared" si="16"/>
        <v>0.1111111111</v>
      </c>
      <c r="I89" s="4" t="s">
        <v>934</v>
      </c>
      <c r="J89" s="4" t="s">
        <v>935</v>
      </c>
      <c r="K89" s="4" t="s">
        <v>936</v>
      </c>
      <c r="L89" s="4" t="s">
        <v>937</v>
      </c>
      <c r="M89" s="4" t="s">
        <v>938</v>
      </c>
      <c r="N89" s="1" t="s">
        <v>46</v>
      </c>
      <c r="O89" s="1" t="s">
        <v>47</v>
      </c>
      <c r="P89" t="s">
        <v>65</v>
      </c>
      <c r="Q89" s="4" t="s">
        <v>939</v>
      </c>
      <c r="R89" s="2"/>
      <c r="S89" s="1"/>
      <c r="T89" s="1"/>
      <c r="U89" s="4" t="s">
        <v>940</v>
      </c>
      <c r="V89" s="4" t="s">
        <v>52</v>
      </c>
      <c r="W89" s="5" t="s">
        <v>53</v>
      </c>
      <c r="X89" s="5" t="s">
        <v>53</v>
      </c>
      <c r="Y89" s="5" t="s">
        <v>53</v>
      </c>
      <c r="Z89" s="5" t="s">
        <v>53</v>
      </c>
      <c r="AA89" s="5" t="s">
        <v>53</v>
      </c>
      <c r="AB89" s="5" t="s">
        <v>53</v>
      </c>
      <c r="AC89" s="5" t="s">
        <v>53</v>
      </c>
      <c r="AD89" s="5" t="s">
        <v>53</v>
      </c>
      <c r="AE89" s="5" t="s">
        <v>53</v>
      </c>
      <c r="AF89" s="4" t="s">
        <v>53</v>
      </c>
      <c r="AG89" s="4" t="s">
        <v>53</v>
      </c>
      <c r="AH89" s="5" t="s">
        <v>53</v>
      </c>
      <c r="AI89" s="5" t="s">
        <v>53</v>
      </c>
      <c r="AJ89" s="5" t="s">
        <v>53</v>
      </c>
    </row>
    <row r="90" ht="101.25" customHeight="1" spans="1:36" x14ac:dyDescent="0.25">
      <c r="A90" s="1" t="s">
        <v>35</v>
      </c>
      <c r="B90" s="1" t="s">
        <v>36</v>
      </c>
      <c r="C90" s="1" t="s">
        <v>941</v>
      </c>
      <c r="D90" s="1" t="s">
        <v>942</v>
      </c>
      <c r="E90" s="1">
        <f t="shared" si="0"/>
        <v>0.04</v>
      </c>
      <c r="F90" s="1" t="s">
        <v>943</v>
      </c>
      <c r="G90" s="1" t="s">
        <v>944</v>
      </c>
      <c r="H90" s="1">
        <f t="shared" ref="H90:H97" si="17">1/8</f>
        <v>0.125</v>
      </c>
      <c r="I90" s="4" t="s">
        <v>945</v>
      </c>
      <c r="J90" s="4" t="s">
        <v>946</v>
      </c>
      <c r="K90" s="4" t="s">
        <v>947</v>
      </c>
      <c r="L90" s="4" t="s">
        <v>948</v>
      </c>
      <c r="M90" s="4" t="s">
        <v>949</v>
      </c>
      <c r="N90" s="1" t="s">
        <v>46</v>
      </c>
      <c r="O90" s="1" t="s">
        <v>47</v>
      </c>
      <c r="P90" t="s">
        <v>65</v>
      </c>
      <c r="Q90" s="4" t="s">
        <v>950</v>
      </c>
      <c r="R90" s="2"/>
      <c r="S90" s="1"/>
      <c r="T90" s="1"/>
      <c r="U90" s="4" t="s">
        <v>951</v>
      </c>
      <c r="V90" s="4" t="s">
        <v>52</v>
      </c>
      <c r="W90" s="5" t="s">
        <v>53</v>
      </c>
      <c r="X90" s="4" t="s">
        <v>54</v>
      </c>
      <c r="Y90" s="4"/>
      <c r="Z90" s="5" t="s">
        <v>53</v>
      </c>
      <c r="AA90" s="4" t="s">
        <v>54</v>
      </c>
      <c r="AB90" s="4"/>
      <c r="AC90" s="5" t="s">
        <v>53</v>
      </c>
      <c r="AD90" s="4" t="s">
        <v>54</v>
      </c>
      <c r="AE90" s="4"/>
      <c r="AF90" s="4" t="s">
        <v>53</v>
      </c>
      <c r="AG90" s="4" t="s">
        <v>55</v>
      </c>
      <c r="AH90" s="5" t="s">
        <v>53</v>
      </c>
      <c r="AI90" s="4"/>
      <c r="AJ90" s="4"/>
    </row>
    <row r="91" ht="101.25" customHeight="1" spans="1:36" x14ac:dyDescent="0.25">
      <c r="A91" s="1" t="s">
        <v>35</v>
      </c>
      <c r="B91" s="1" t="s">
        <v>36</v>
      </c>
      <c r="C91" s="1" t="s">
        <v>941</v>
      </c>
      <c r="D91" s="1" t="s">
        <v>942</v>
      </c>
      <c r="E91" s="1">
        <f t="shared" si="0"/>
        <v>0.04</v>
      </c>
      <c r="F91" s="1" t="s">
        <v>952</v>
      </c>
      <c r="G91" s="1" t="s">
        <v>953</v>
      </c>
      <c r="H91" s="1">
        <f t="shared" si="17"/>
        <v>0.125</v>
      </c>
      <c r="I91" s="4" t="s">
        <v>954</v>
      </c>
      <c r="J91" s="4" t="s">
        <v>955</v>
      </c>
      <c r="K91" s="4" t="s">
        <v>956</v>
      </c>
      <c r="L91" s="4" t="s">
        <v>957</v>
      </c>
      <c r="M91" s="4" t="s">
        <v>958</v>
      </c>
      <c r="N91" s="1" t="s">
        <v>46</v>
      </c>
      <c r="O91" s="1" t="s">
        <v>47</v>
      </c>
      <c r="P91" t="s">
        <v>65</v>
      </c>
      <c r="Q91" s="4" t="s">
        <v>959</v>
      </c>
      <c r="R91" s="2"/>
      <c r="S91" s="1"/>
      <c r="T91" s="1"/>
      <c r="U91" s="4" t="s">
        <v>960</v>
      </c>
      <c r="V91" s="4" t="s">
        <v>52</v>
      </c>
      <c r="W91" s="5" t="s">
        <v>53</v>
      </c>
      <c r="X91" s="4" t="s">
        <v>54</v>
      </c>
      <c r="Y91" s="4"/>
      <c r="Z91" s="5" t="s">
        <v>53</v>
      </c>
      <c r="AA91" s="4" t="s">
        <v>54</v>
      </c>
      <c r="AB91" s="4"/>
      <c r="AC91" s="5" t="s">
        <v>53</v>
      </c>
      <c r="AD91" s="4" t="s">
        <v>54</v>
      </c>
      <c r="AE91" s="4"/>
      <c r="AF91" s="4" t="s">
        <v>53</v>
      </c>
      <c r="AG91" s="4" t="s">
        <v>55</v>
      </c>
      <c r="AH91" s="5" t="s">
        <v>53</v>
      </c>
      <c r="AI91" s="4"/>
      <c r="AJ91" s="4"/>
    </row>
    <row r="92" ht="101.25" customHeight="1" spans="1:36" x14ac:dyDescent="0.25">
      <c r="A92" s="1" t="s">
        <v>35</v>
      </c>
      <c r="B92" s="1" t="s">
        <v>36</v>
      </c>
      <c r="C92" s="1" t="s">
        <v>941</v>
      </c>
      <c r="D92" s="1" t="s">
        <v>942</v>
      </c>
      <c r="E92" s="1">
        <f t="shared" si="0"/>
        <v>0.04</v>
      </c>
      <c r="F92" s="1" t="s">
        <v>961</v>
      </c>
      <c r="G92" s="1" t="s">
        <v>962</v>
      </c>
      <c r="H92" s="1">
        <f t="shared" si="17"/>
        <v>0.125</v>
      </c>
      <c r="I92" s="4" t="s">
        <v>963</v>
      </c>
      <c r="J92" s="4" t="s">
        <v>964</v>
      </c>
      <c r="K92" s="4" t="s">
        <v>965</v>
      </c>
      <c r="L92" s="4" t="s">
        <v>966</v>
      </c>
      <c r="M92" s="4" t="s">
        <v>967</v>
      </c>
      <c r="N92" s="1" t="s">
        <v>46</v>
      </c>
      <c r="O92" s="1" t="s">
        <v>47</v>
      </c>
      <c r="P92" t="s">
        <v>65</v>
      </c>
      <c r="Q92" s="4" t="s">
        <v>968</v>
      </c>
      <c r="R92" s="2"/>
      <c r="S92" s="1"/>
      <c r="T92" s="1"/>
      <c r="U92" s="4" t="s">
        <v>969</v>
      </c>
      <c r="V92" s="4" t="s">
        <v>52</v>
      </c>
      <c r="W92" s="5" t="s">
        <v>53</v>
      </c>
      <c r="X92" s="4" t="s">
        <v>54</v>
      </c>
      <c r="Y92" s="4"/>
      <c r="Z92" s="5" t="s">
        <v>53</v>
      </c>
      <c r="AA92" s="4" t="s">
        <v>54</v>
      </c>
      <c r="AB92" s="4"/>
      <c r="AC92" s="5" t="s">
        <v>53</v>
      </c>
      <c r="AD92" s="4" t="s">
        <v>54</v>
      </c>
      <c r="AE92" s="4"/>
      <c r="AF92" s="4" t="s">
        <v>53</v>
      </c>
      <c r="AG92" s="4" t="s">
        <v>55</v>
      </c>
      <c r="AH92" s="5" t="s">
        <v>53</v>
      </c>
      <c r="AI92" s="4"/>
      <c r="AJ92" s="4"/>
    </row>
    <row r="93" ht="101.25" customHeight="1" spans="1:36" x14ac:dyDescent="0.25">
      <c r="A93" s="1" t="s">
        <v>35</v>
      </c>
      <c r="B93" s="1" t="s">
        <v>36</v>
      </c>
      <c r="C93" s="1" t="s">
        <v>941</v>
      </c>
      <c r="D93" s="1" t="s">
        <v>942</v>
      </c>
      <c r="E93" s="1">
        <f t="shared" si="0"/>
        <v>0.04</v>
      </c>
      <c r="F93" s="1" t="s">
        <v>970</v>
      </c>
      <c r="G93" s="1" t="s">
        <v>971</v>
      </c>
      <c r="H93" s="1">
        <f t="shared" si="17"/>
        <v>0.125</v>
      </c>
      <c r="I93" s="4" t="s">
        <v>972</v>
      </c>
      <c r="J93" s="4" t="s">
        <v>973</v>
      </c>
      <c r="K93" s="4" t="s">
        <v>974</v>
      </c>
      <c r="L93" s="4" t="s">
        <v>975</v>
      </c>
      <c r="M93" s="4" t="s">
        <v>976</v>
      </c>
      <c r="N93" s="1" t="s">
        <v>46</v>
      </c>
      <c r="O93" s="1" t="s">
        <v>47</v>
      </c>
      <c r="P93" t="s">
        <v>65</v>
      </c>
      <c r="Q93" s="4" t="s">
        <v>977</v>
      </c>
      <c r="R93" s="2"/>
      <c r="S93" s="1"/>
      <c r="T93" s="1"/>
      <c r="U93" s="4" t="s">
        <v>978</v>
      </c>
      <c r="V93" s="4" t="s">
        <v>52</v>
      </c>
      <c r="W93" s="5" t="s">
        <v>53</v>
      </c>
      <c r="X93" s="4" t="s">
        <v>54</v>
      </c>
      <c r="Y93" s="4"/>
      <c r="Z93" s="5" t="s">
        <v>53</v>
      </c>
      <c r="AA93" s="4" t="s">
        <v>54</v>
      </c>
      <c r="AB93" s="4"/>
      <c r="AC93" s="5" t="s">
        <v>53</v>
      </c>
      <c r="AD93" s="4" t="s">
        <v>54</v>
      </c>
      <c r="AE93" s="4"/>
      <c r="AF93" s="4" t="s">
        <v>53</v>
      </c>
      <c r="AG93" s="4" t="s">
        <v>55</v>
      </c>
      <c r="AH93" s="5" t="s">
        <v>53</v>
      </c>
      <c r="AI93" s="4"/>
      <c r="AJ93" s="4"/>
    </row>
    <row r="94" ht="101.25" customHeight="1" spans="1:36" x14ac:dyDescent="0.25">
      <c r="A94" s="1" t="s">
        <v>35</v>
      </c>
      <c r="B94" s="1" t="s">
        <v>36</v>
      </c>
      <c r="C94" s="1" t="s">
        <v>941</v>
      </c>
      <c r="D94" s="1" t="s">
        <v>942</v>
      </c>
      <c r="E94" s="1">
        <f t="shared" si="0"/>
        <v>0.04</v>
      </c>
      <c r="F94" s="1" t="s">
        <v>979</v>
      </c>
      <c r="G94" s="1" t="s">
        <v>980</v>
      </c>
      <c r="H94" s="1">
        <f t="shared" si="17"/>
        <v>0.125</v>
      </c>
      <c r="I94" s="4" t="s">
        <v>981</v>
      </c>
      <c r="J94" s="4" t="s">
        <v>982</v>
      </c>
      <c r="K94" s="4" t="s">
        <v>983</v>
      </c>
      <c r="L94" s="4" t="s">
        <v>984</v>
      </c>
      <c r="M94" s="4" t="s">
        <v>985</v>
      </c>
      <c r="N94" s="1" t="s">
        <v>46</v>
      </c>
      <c r="O94" s="1" t="s">
        <v>47</v>
      </c>
      <c r="P94" t="s">
        <v>65</v>
      </c>
      <c r="Q94" s="4" t="s">
        <v>986</v>
      </c>
      <c r="R94" s="2"/>
      <c r="S94" s="1"/>
      <c r="T94" s="1"/>
      <c r="U94" s="4" t="s">
        <v>987</v>
      </c>
      <c r="V94" s="4" t="s">
        <v>52</v>
      </c>
      <c r="W94" s="5" t="s">
        <v>53</v>
      </c>
      <c r="X94" s="4" t="s">
        <v>54</v>
      </c>
      <c r="Y94" s="4"/>
      <c r="Z94" s="5" t="s">
        <v>53</v>
      </c>
      <c r="AA94" s="4" t="s">
        <v>54</v>
      </c>
      <c r="AB94" s="4"/>
      <c r="AC94" s="5" t="s">
        <v>53</v>
      </c>
      <c r="AD94" s="4" t="s">
        <v>54</v>
      </c>
      <c r="AE94" s="4"/>
      <c r="AF94" s="4" t="s">
        <v>53</v>
      </c>
      <c r="AG94" s="4" t="s">
        <v>55</v>
      </c>
      <c r="AH94" s="5" t="s">
        <v>53</v>
      </c>
      <c r="AI94" s="4"/>
      <c r="AJ94" s="4"/>
    </row>
    <row r="95" ht="124.5" customHeight="1" spans="1:36" x14ac:dyDescent="0.25">
      <c r="A95" s="1" t="s">
        <v>35</v>
      </c>
      <c r="B95" s="1" t="s">
        <v>36</v>
      </c>
      <c r="C95" s="1" t="s">
        <v>941</v>
      </c>
      <c r="D95" s="1" t="s">
        <v>942</v>
      </c>
      <c r="E95" s="1">
        <f t="shared" si="0"/>
        <v>0.04</v>
      </c>
      <c r="F95" s="1" t="s">
        <v>988</v>
      </c>
      <c r="G95" s="1" t="s">
        <v>989</v>
      </c>
      <c r="H95" s="1">
        <f t="shared" si="17"/>
        <v>0.125</v>
      </c>
      <c r="I95" s="4" t="s">
        <v>990</v>
      </c>
      <c r="J95" s="4" t="s">
        <v>991</v>
      </c>
      <c r="K95" s="4" t="s">
        <v>992</v>
      </c>
      <c r="L95" s="4" t="s">
        <v>993</v>
      </c>
      <c r="M95" s="4" t="s">
        <v>994</v>
      </c>
      <c r="N95" s="1" t="s">
        <v>46</v>
      </c>
      <c r="O95" s="1" t="s">
        <v>47</v>
      </c>
      <c r="P95" t="s">
        <v>65</v>
      </c>
      <c r="Q95" s="4" t="s">
        <v>995</v>
      </c>
      <c r="R95" s="2"/>
      <c r="S95" s="1"/>
      <c r="T95" s="1"/>
      <c r="U95" s="4" t="s">
        <v>996</v>
      </c>
      <c r="V95" s="4" t="s">
        <v>52</v>
      </c>
      <c r="W95" s="5" t="s">
        <v>53</v>
      </c>
      <c r="X95" s="5" t="s">
        <v>53</v>
      </c>
      <c r="Y95" s="5" t="s">
        <v>53</v>
      </c>
      <c r="Z95" s="5" t="s">
        <v>53</v>
      </c>
      <c r="AA95" s="5" t="s">
        <v>53</v>
      </c>
      <c r="AB95" s="5" t="s">
        <v>53</v>
      </c>
      <c r="AC95" s="5" t="s">
        <v>53</v>
      </c>
      <c r="AD95" s="5" t="s">
        <v>53</v>
      </c>
      <c r="AE95" s="5" t="s">
        <v>53</v>
      </c>
      <c r="AF95" s="4" t="s">
        <v>53</v>
      </c>
      <c r="AG95" s="4" t="s">
        <v>53</v>
      </c>
      <c r="AH95" s="5" t="s">
        <v>53</v>
      </c>
      <c r="AI95" s="5" t="s">
        <v>53</v>
      </c>
      <c r="AJ95" s="5" t="s">
        <v>53</v>
      </c>
    </row>
    <row r="96" ht="101.25" customHeight="1" spans="1:36" x14ac:dyDescent="0.25">
      <c r="A96" s="1" t="s">
        <v>35</v>
      </c>
      <c r="B96" s="1" t="s">
        <v>36</v>
      </c>
      <c r="C96" s="1" t="s">
        <v>941</v>
      </c>
      <c r="D96" s="1" t="s">
        <v>942</v>
      </c>
      <c r="E96" s="1">
        <f t="shared" si="0"/>
        <v>0.04</v>
      </c>
      <c r="F96" s="1" t="s">
        <v>997</v>
      </c>
      <c r="G96" s="1" t="s">
        <v>998</v>
      </c>
      <c r="H96" s="1">
        <f t="shared" si="17"/>
        <v>0.125</v>
      </c>
      <c r="I96" s="4" t="s">
        <v>999</v>
      </c>
      <c r="J96" s="4" t="s">
        <v>1000</v>
      </c>
      <c r="K96" s="4" t="s">
        <v>1001</v>
      </c>
      <c r="L96" s="4" t="s">
        <v>1002</v>
      </c>
      <c r="M96" s="4" t="s">
        <v>1003</v>
      </c>
      <c r="N96" s="1" t="s">
        <v>46</v>
      </c>
      <c r="O96" s="1" t="s">
        <v>47</v>
      </c>
      <c r="P96" t="s">
        <v>65</v>
      </c>
      <c r="Q96" s="4" t="s">
        <v>1004</v>
      </c>
      <c r="R96" s="2"/>
      <c r="S96" s="1"/>
      <c r="T96" s="1"/>
      <c r="U96" s="4" t="s">
        <v>1005</v>
      </c>
      <c r="V96" s="4" t="s">
        <v>52</v>
      </c>
      <c r="W96" s="5" t="s">
        <v>53</v>
      </c>
      <c r="X96" s="5" t="s">
        <v>53</v>
      </c>
      <c r="Y96" s="5" t="s">
        <v>53</v>
      </c>
      <c r="Z96" s="5" t="s">
        <v>53</v>
      </c>
      <c r="AA96" s="5" t="s">
        <v>53</v>
      </c>
      <c r="AB96" s="5" t="s">
        <v>53</v>
      </c>
      <c r="AC96" s="5" t="s">
        <v>53</v>
      </c>
      <c r="AD96" s="5" t="s">
        <v>53</v>
      </c>
      <c r="AE96" s="5" t="s">
        <v>53</v>
      </c>
      <c r="AF96" s="4" t="s">
        <v>53</v>
      </c>
      <c r="AG96" s="4" t="s">
        <v>53</v>
      </c>
      <c r="AH96" s="5" t="s">
        <v>53</v>
      </c>
      <c r="AI96" s="5" t="s">
        <v>53</v>
      </c>
      <c r="AJ96" s="5" t="s">
        <v>53</v>
      </c>
    </row>
    <row r="97" ht="101.25" customHeight="1" spans="1:36" x14ac:dyDescent="0.25">
      <c r="A97" s="1" t="s">
        <v>35</v>
      </c>
      <c r="B97" s="1" t="s">
        <v>36</v>
      </c>
      <c r="C97" s="1" t="s">
        <v>941</v>
      </c>
      <c r="D97" s="1" t="s">
        <v>942</v>
      </c>
      <c r="E97" s="1">
        <f t="shared" si="0"/>
        <v>0.04</v>
      </c>
      <c r="F97" s="1" t="s">
        <v>1006</v>
      </c>
      <c r="G97" s="1" t="s">
        <v>1007</v>
      </c>
      <c r="H97" s="1">
        <f t="shared" si="17"/>
        <v>0.125</v>
      </c>
      <c r="I97" s="4" t="s">
        <v>1008</v>
      </c>
      <c r="J97" s="4" t="s">
        <v>1009</v>
      </c>
      <c r="K97" s="4" t="s">
        <v>1010</v>
      </c>
      <c r="L97" s="4" t="s">
        <v>1011</v>
      </c>
      <c r="M97" s="4" t="s">
        <v>1012</v>
      </c>
      <c r="N97" s="1" t="s">
        <v>46</v>
      </c>
      <c r="O97" s="1" t="s">
        <v>47</v>
      </c>
      <c r="P97" t="s">
        <v>65</v>
      </c>
      <c r="Q97" s="4" t="s">
        <v>1013</v>
      </c>
      <c r="R97" s="2"/>
      <c r="S97" s="1"/>
      <c r="T97" s="1"/>
      <c r="U97" s="4" t="s">
        <v>1014</v>
      </c>
      <c r="V97" s="4" t="s">
        <v>52</v>
      </c>
      <c r="W97" s="5" t="s">
        <v>53</v>
      </c>
      <c r="X97" s="5" t="s">
        <v>53</v>
      </c>
      <c r="Y97" s="5" t="s">
        <v>53</v>
      </c>
      <c r="Z97" s="5" t="s">
        <v>53</v>
      </c>
      <c r="AA97" s="5" t="s">
        <v>53</v>
      </c>
      <c r="AB97" s="5" t="s">
        <v>53</v>
      </c>
      <c r="AC97" s="5" t="s">
        <v>53</v>
      </c>
      <c r="AD97" s="5" t="s">
        <v>53</v>
      </c>
      <c r="AE97" s="5" t="s">
        <v>53</v>
      </c>
      <c r="AF97" s="4" t="s">
        <v>53</v>
      </c>
      <c r="AG97" s="4" t="s">
        <v>53</v>
      </c>
      <c r="AH97" s="5" t="s">
        <v>53</v>
      </c>
      <c r="AI97" s="5" t="s">
        <v>53</v>
      </c>
      <c r="AJ97" s="5" t="s">
        <v>53</v>
      </c>
    </row>
    <row r="98" ht="101.25" customHeight="1" spans="1:36" x14ac:dyDescent="0.25">
      <c r="A98" s="1" t="s">
        <v>35</v>
      </c>
      <c r="B98" s="1" t="s">
        <v>36</v>
      </c>
      <c r="C98" s="1" t="s">
        <v>1015</v>
      </c>
      <c r="D98" s="1" t="s">
        <v>1016</v>
      </c>
      <c r="E98" s="1">
        <f t="shared" si="0"/>
        <v>0.04</v>
      </c>
      <c r="F98" s="1" t="s">
        <v>1017</v>
      </c>
      <c r="G98" s="1" t="s">
        <v>1018</v>
      </c>
      <c r="H98" s="1">
        <f t="shared" ref="H98:H100" si="18">1/3</f>
        <v>0.3333333333</v>
      </c>
      <c r="I98" s="4" t="s">
        <v>1019</v>
      </c>
      <c r="J98" s="4" t="s">
        <v>1020</v>
      </c>
      <c r="K98" s="4" t="s">
        <v>1021</v>
      </c>
      <c r="L98" s="4" t="s">
        <v>1022</v>
      </c>
      <c r="M98" s="4" t="s">
        <v>1023</v>
      </c>
      <c r="N98" s="1" t="s">
        <v>46</v>
      </c>
      <c r="O98" s="1" t="s">
        <v>47</v>
      </c>
      <c r="P98" t="s">
        <v>65</v>
      </c>
      <c r="Q98" s="4" t="s">
        <v>1024</v>
      </c>
      <c r="R98" s="2"/>
      <c r="S98" s="1"/>
      <c r="T98" s="1"/>
      <c r="U98" s="4" t="s">
        <v>1025</v>
      </c>
      <c r="V98" s="4" t="s">
        <v>1026</v>
      </c>
      <c r="W98" s="5" t="s">
        <v>53</v>
      </c>
      <c r="X98" s="4" t="s">
        <v>54</v>
      </c>
      <c r="Y98" s="4"/>
      <c r="Z98" s="5" t="s">
        <v>53</v>
      </c>
      <c r="AA98" s="4" t="s">
        <v>54</v>
      </c>
      <c r="AB98" s="4"/>
      <c r="AC98" s="5" t="s">
        <v>53</v>
      </c>
      <c r="AD98" s="4" t="s">
        <v>54</v>
      </c>
      <c r="AE98" s="4"/>
      <c r="AF98" s="4" t="s">
        <v>53</v>
      </c>
      <c r="AG98" s="4" t="s">
        <v>55</v>
      </c>
      <c r="AH98" s="5" t="s">
        <v>53</v>
      </c>
      <c r="AI98" s="4"/>
      <c r="AJ98" s="4"/>
    </row>
    <row r="99" ht="101.25" customHeight="1" spans="1:36" x14ac:dyDescent="0.25">
      <c r="A99" s="1" t="s">
        <v>35</v>
      </c>
      <c r="B99" s="1" t="s">
        <v>36</v>
      </c>
      <c r="C99" s="1" t="s">
        <v>1015</v>
      </c>
      <c r="D99" s="1" t="s">
        <v>1016</v>
      </c>
      <c r="E99" s="1">
        <f t="shared" si="0"/>
        <v>0.04</v>
      </c>
      <c r="F99" s="1" t="s">
        <v>1027</v>
      </c>
      <c r="G99" s="1" t="s">
        <v>1028</v>
      </c>
      <c r="H99" s="1">
        <f t="shared" si="18"/>
        <v>0.3333333333</v>
      </c>
      <c r="I99" s="4" t="s">
        <v>1029</v>
      </c>
      <c r="J99" s="4" t="s">
        <v>1030</v>
      </c>
      <c r="K99" s="4" t="s">
        <v>1031</v>
      </c>
      <c r="L99" s="4" t="s">
        <v>1032</v>
      </c>
      <c r="M99" s="4" t="s">
        <v>1033</v>
      </c>
      <c r="N99" s="1" t="s">
        <v>46</v>
      </c>
      <c r="O99" s="1" t="s">
        <v>47</v>
      </c>
      <c r="P99" t="s">
        <v>65</v>
      </c>
      <c r="Q99" s="4" t="s">
        <v>1034</v>
      </c>
      <c r="R99" s="2"/>
      <c r="S99" s="1"/>
      <c r="T99" s="1"/>
      <c r="U99" s="4" t="s">
        <v>1035</v>
      </c>
      <c r="V99" s="4" t="s">
        <v>52</v>
      </c>
      <c r="W99" s="5" t="s">
        <v>53</v>
      </c>
      <c r="X99" s="4" t="s">
        <v>54</v>
      </c>
      <c r="Y99" s="4"/>
      <c r="Z99" s="5" t="s">
        <v>53</v>
      </c>
      <c r="AA99" s="4" t="s">
        <v>54</v>
      </c>
      <c r="AB99" s="4"/>
      <c r="AC99" s="5" t="s">
        <v>53</v>
      </c>
      <c r="AD99" s="4" t="s">
        <v>54</v>
      </c>
      <c r="AE99" s="4"/>
      <c r="AF99" s="4" t="s">
        <v>53</v>
      </c>
      <c r="AG99" s="4" t="s">
        <v>55</v>
      </c>
      <c r="AH99" s="5" t="s">
        <v>53</v>
      </c>
      <c r="AI99" s="4"/>
      <c r="AJ99" s="4"/>
    </row>
    <row r="100" ht="101.25" customHeight="1" spans="1:36" x14ac:dyDescent="0.25">
      <c r="A100" s="1" t="s">
        <v>35</v>
      </c>
      <c r="B100" s="1" t="s">
        <v>36</v>
      </c>
      <c r="C100" s="1" t="s">
        <v>1015</v>
      </c>
      <c r="D100" s="1" t="s">
        <v>1016</v>
      </c>
      <c r="E100" s="1">
        <f t="shared" si="0"/>
        <v>0.04</v>
      </c>
      <c r="F100" s="1" t="s">
        <v>1036</v>
      </c>
      <c r="G100" s="1" t="s">
        <v>1037</v>
      </c>
      <c r="H100" s="1">
        <f t="shared" si="18"/>
        <v>0.3333333333</v>
      </c>
      <c r="I100" s="4" t="s">
        <v>1038</v>
      </c>
      <c r="J100" s="4" t="s">
        <v>1039</v>
      </c>
      <c r="K100" s="4" t="s">
        <v>1040</v>
      </c>
      <c r="L100" s="4" t="s">
        <v>1041</v>
      </c>
      <c r="M100" s="4" t="s">
        <v>1042</v>
      </c>
      <c r="N100" s="1" t="s">
        <v>46</v>
      </c>
      <c r="O100" s="1" t="s">
        <v>47</v>
      </c>
      <c r="P100" t="s">
        <v>65</v>
      </c>
      <c r="Q100" s="4" t="s">
        <v>1043</v>
      </c>
      <c r="R100" s="2"/>
      <c r="S100" s="1"/>
      <c r="T100" s="1" t="s">
        <v>319</v>
      </c>
      <c r="U100" s="4" t="s">
        <v>1044</v>
      </c>
      <c r="V100" s="4" t="s">
        <v>1045</v>
      </c>
      <c r="W100" s="5" t="s">
        <v>53</v>
      </c>
      <c r="X100" s="4" t="s">
        <v>54</v>
      </c>
      <c r="Y100" s="4"/>
      <c r="Z100" s="5" t="s">
        <v>53</v>
      </c>
      <c r="AA100" s="4" t="s">
        <v>54</v>
      </c>
      <c r="AB100" s="4"/>
      <c r="AC100" s="5" t="s">
        <v>53</v>
      </c>
      <c r="AD100" s="4" t="s">
        <v>54</v>
      </c>
      <c r="AE100" s="4"/>
      <c r="AF100" s="4" t="s">
        <v>53</v>
      </c>
      <c r="AG100" s="4" t="s">
        <v>55</v>
      </c>
      <c r="AH100" s="5" t="s">
        <v>53</v>
      </c>
      <c r="AI100" s="4"/>
      <c r="AJ100" s="4"/>
    </row>
    <row r="101" ht="101.25" customHeight="1" spans="1:36" x14ac:dyDescent="0.25">
      <c r="A101" s="1" t="s">
        <v>35</v>
      </c>
      <c r="B101" s="1" t="s">
        <v>36</v>
      </c>
      <c r="C101" s="1" t="s">
        <v>1046</v>
      </c>
      <c r="D101" s="1" t="s">
        <v>1047</v>
      </c>
      <c r="E101" s="1">
        <f t="shared" si="0"/>
        <v>0.04</v>
      </c>
      <c r="F101" s="1" t="s">
        <v>1048</v>
      </c>
      <c r="G101" s="1" t="s">
        <v>1049</v>
      </c>
      <c r="H101" s="1">
        <f t="shared" ref="H101:H105" si="19">1/5</f>
        <v>0.2</v>
      </c>
      <c r="I101" s="4" t="s">
        <v>1050</v>
      </c>
      <c r="J101" s="4" t="s">
        <v>1051</v>
      </c>
      <c r="K101" s="4" t="s">
        <v>1052</v>
      </c>
      <c r="L101" s="4" t="s">
        <v>1053</v>
      </c>
      <c r="M101" s="4" t="s">
        <v>1054</v>
      </c>
      <c r="N101" s="1" t="s">
        <v>46</v>
      </c>
      <c r="O101" s="1" t="s">
        <v>47</v>
      </c>
      <c r="P101" t="s">
        <v>65</v>
      </c>
      <c r="Q101" s="4" t="s">
        <v>1055</v>
      </c>
      <c r="R101" s="2"/>
      <c r="S101" s="1"/>
      <c r="T101" s="1" t="s">
        <v>319</v>
      </c>
      <c r="U101" s="4" t="s">
        <v>1056</v>
      </c>
      <c r="V101" s="4" t="s">
        <v>52</v>
      </c>
      <c r="W101" s="5" t="s">
        <v>53</v>
      </c>
      <c r="X101" s="4" t="s">
        <v>54</v>
      </c>
      <c r="Y101" s="4"/>
      <c r="Z101" s="5" t="s">
        <v>53</v>
      </c>
      <c r="AA101" s="4" t="s">
        <v>54</v>
      </c>
      <c r="AB101" s="4"/>
      <c r="AC101" s="5" t="s">
        <v>53</v>
      </c>
      <c r="AD101" s="4" t="s">
        <v>54</v>
      </c>
      <c r="AE101" s="4"/>
      <c r="AF101" s="4" t="s">
        <v>53</v>
      </c>
      <c r="AG101" s="4" t="s">
        <v>55</v>
      </c>
      <c r="AH101" s="5" t="s">
        <v>53</v>
      </c>
      <c r="AI101" s="4"/>
      <c r="AJ101" s="4"/>
    </row>
    <row r="102" ht="101.25" customHeight="1" spans="1:36" x14ac:dyDescent="0.25">
      <c r="A102" s="1" t="s">
        <v>35</v>
      </c>
      <c r="B102" s="1" t="s">
        <v>36</v>
      </c>
      <c r="C102" s="1" t="s">
        <v>1046</v>
      </c>
      <c r="D102" s="1" t="s">
        <v>1047</v>
      </c>
      <c r="E102" s="1">
        <f t="shared" si="0"/>
        <v>0.04</v>
      </c>
      <c r="F102" s="1" t="s">
        <v>1057</v>
      </c>
      <c r="G102" s="1" t="s">
        <v>1058</v>
      </c>
      <c r="H102" s="1">
        <f t="shared" si="19"/>
        <v>0.2</v>
      </c>
      <c r="I102" s="4" t="s">
        <v>1059</v>
      </c>
      <c r="J102" s="4" t="s">
        <v>1060</v>
      </c>
      <c r="K102" s="4" t="s">
        <v>1061</v>
      </c>
      <c r="L102" s="4" t="s">
        <v>1062</v>
      </c>
      <c r="M102" s="4" t="s">
        <v>1063</v>
      </c>
      <c r="N102" s="1" t="s">
        <v>46</v>
      </c>
      <c r="O102" s="1" t="s">
        <v>47</v>
      </c>
      <c r="P102" t="s">
        <v>65</v>
      </c>
      <c r="Q102" s="4" t="s">
        <v>1064</v>
      </c>
      <c r="R102" s="2"/>
      <c r="S102" s="1"/>
      <c r="T102" s="1"/>
      <c r="U102" s="4" t="s">
        <v>1065</v>
      </c>
      <c r="V102" s="4" t="s">
        <v>52</v>
      </c>
      <c r="W102" s="5" t="s">
        <v>53</v>
      </c>
      <c r="X102" s="4" t="s">
        <v>54</v>
      </c>
      <c r="Y102" s="4"/>
      <c r="Z102" s="5" t="s">
        <v>53</v>
      </c>
      <c r="AA102" s="4" t="s">
        <v>54</v>
      </c>
      <c r="AB102" s="4"/>
      <c r="AC102" s="5" t="s">
        <v>53</v>
      </c>
      <c r="AD102" s="4" t="s">
        <v>54</v>
      </c>
      <c r="AE102" s="4"/>
      <c r="AF102" s="4" t="s">
        <v>53</v>
      </c>
      <c r="AG102" s="4" t="s">
        <v>55</v>
      </c>
      <c r="AH102" s="5" t="s">
        <v>53</v>
      </c>
      <c r="AI102" s="4"/>
      <c r="AJ102" s="4"/>
    </row>
    <row r="103" ht="101.25" customHeight="1" spans="1:36" x14ac:dyDescent="0.25">
      <c r="A103" s="1" t="s">
        <v>35</v>
      </c>
      <c r="B103" s="1" t="s">
        <v>36</v>
      </c>
      <c r="C103" s="1" t="s">
        <v>1046</v>
      </c>
      <c r="D103" s="1" t="s">
        <v>1047</v>
      </c>
      <c r="E103" s="1">
        <f t="shared" si="0"/>
        <v>0.04</v>
      </c>
      <c r="F103" s="1" t="s">
        <v>1066</v>
      </c>
      <c r="G103" s="1" t="s">
        <v>1067</v>
      </c>
      <c r="H103" s="1">
        <f t="shared" si="19"/>
        <v>0.2</v>
      </c>
      <c r="I103" s="4" t="s">
        <v>1068</v>
      </c>
      <c r="J103" s="4" t="s">
        <v>1069</v>
      </c>
      <c r="K103" s="4" t="s">
        <v>1070</v>
      </c>
      <c r="L103" s="4" t="s">
        <v>1071</v>
      </c>
      <c r="M103" s="4" t="s">
        <v>1072</v>
      </c>
      <c r="N103" s="1" t="s">
        <v>46</v>
      </c>
      <c r="O103" s="1" t="s">
        <v>47</v>
      </c>
      <c r="P103" t="s">
        <v>65</v>
      </c>
      <c r="Q103" s="4" t="s">
        <v>1073</v>
      </c>
      <c r="R103" s="2"/>
      <c r="S103" s="1"/>
      <c r="T103" s="1"/>
      <c r="U103" s="4" t="s">
        <v>1074</v>
      </c>
      <c r="V103" s="4" t="s">
        <v>52</v>
      </c>
      <c r="W103" s="5" t="s">
        <v>53</v>
      </c>
      <c r="X103" s="4" t="s">
        <v>54</v>
      </c>
      <c r="Y103" s="4"/>
      <c r="Z103" s="5" t="s">
        <v>53</v>
      </c>
      <c r="AA103" s="4" t="s">
        <v>54</v>
      </c>
      <c r="AB103" s="4"/>
      <c r="AC103" s="5" t="s">
        <v>53</v>
      </c>
      <c r="AD103" s="4" t="s">
        <v>54</v>
      </c>
      <c r="AE103" s="4"/>
      <c r="AF103" s="4" t="s">
        <v>53</v>
      </c>
      <c r="AG103" s="4" t="s">
        <v>55</v>
      </c>
      <c r="AH103" s="5" t="s">
        <v>53</v>
      </c>
      <c r="AI103" s="4"/>
      <c r="AJ103" s="4"/>
    </row>
    <row r="104" ht="101.25" customHeight="1" spans="1:36" x14ac:dyDescent="0.25">
      <c r="A104" s="1" t="s">
        <v>35</v>
      </c>
      <c r="B104" s="1" t="s">
        <v>36</v>
      </c>
      <c r="C104" s="1" t="s">
        <v>1046</v>
      </c>
      <c r="D104" s="1" t="s">
        <v>1047</v>
      </c>
      <c r="E104" s="1">
        <f t="shared" si="0"/>
        <v>0.04</v>
      </c>
      <c r="F104" s="1" t="s">
        <v>1075</v>
      </c>
      <c r="G104" s="1" t="s">
        <v>1076</v>
      </c>
      <c r="H104" s="1">
        <f t="shared" si="19"/>
        <v>0.2</v>
      </c>
      <c r="I104" s="4" t="s">
        <v>1077</v>
      </c>
      <c r="J104" s="4" t="s">
        <v>1078</v>
      </c>
      <c r="K104" s="4" t="s">
        <v>1079</v>
      </c>
      <c r="L104" s="4" t="s">
        <v>1080</v>
      </c>
      <c r="M104" s="4" t="s">
        <v>1081</v>
      </c>
      <c r="N104" s="1" t="s">
        <v>46</v>
      </c>
      <c r="O104" s="1" t="s">
        <v>47</v>
      </c>
      <c r="P104" t="s">
        <v>65</v>
      </c>
      <c r="Q104" s="4" t="s">
        <v>1082</v>
      </c>
      <c r="R104" s="2"/>
      <c r="S104" s="1"/>
      <c r="T104" s="1" t="s">
        <v>319</v>
      </c>
      <c r="U104" s="4" t="s">
        <v>1083</v>
      </c>
      <c r="V104" s="4" t="s">
        <v>52</v>
      </c>
      <c r="W104" s="5" t="s">
        <v>53</v>
      </c>
      <c r="X104" s="4" t="s">
        <v>54</v>
      </c>
      <c r="Y104" s="4"/>
      <c r="Z104" s="5" t="s">
        <v>53</v>
      </c>
      <c r="AA104" s="4" t="s">
        <v>54</v>
      </c>
      <c r="AB104" s="4"/>
      <c r="AC104" s="5" t="s">
        <v>53</v>
      </c>
      <c r="AD104" s="4" t="s">
        <v>54</v>
      </c>
      <c r="AE104" s="4"/>
      <c r="AF104" s="4" t="s">
        <v>53</v>
      </c>
      <c r="AG104" s="4" t="s">
        <v>55</v>
      </c>
      <c r="AH104" s="5" t="s">
        <v>53</v>
      </c>
      <c r="AI104" s="4"/>
      <c r="AJ104" s="4"/>
    </row>
    <row r="105" ht="101.25" customHeight="1" spans="1:36" x14ac:dyDescent="0.25">
      <c r="A105" s="1" t="s">
        <v>35</v>
      </c>
      <c r="B105" s="1" t="s">
        <v>36</v>
      </c>
      <c r="C105" s="1" t="s">
        <v>1046</v>
      </c>
      <c r="D105" s="1" t="s">
        <v>1047</v>
      </c>
      <c r="E105" s="1">
        <f t="shared" si="0"/>
        <v>0.04</v>
      </c>
      <c r="F105" s="1" t="s">
        <v>1084</v>
      </c>
      <c r="G105" s="1" t="s">
        <v>1085</v>
      </c>
      <c r="H105" s="1">
        <f t="shared" si="19"/>
        <v>0.2</v>
      </c>
      <c r="I105" s="4" t="s">
        <v>1086</v>
      </c>
      <c r="J105" s="4" t="s">
        <v>1087</v>
      </c>
      <c r="K105" s="4" t="s">
        <v>1088</v>
      </c>
      <c r="L105" s="4" t="s">
        <v>1089</v>
      </c>
      <c r="M105" s="4" t="s">
        <v>1090</v>
      </c>
      <c r="N105" s="1" t="s">
        <v>46</v>
      </c>
      <c r="O105" s="1" t="s">
        <v>47</v>
      </c>
      <c r="P105" t="s">
        <v>65</v>
      </c>
      <c r="Q105" s="4" t="s">
        <v>1091</v>
      </c>
      <c r="R105" s="2"/>
      <c r="S105" s="1"/>
      <c r="T105" s="1" t="s">
        <v>319</v>
      </c>
      <c r="U105" s="4" t="s">
        <v>1092</v>
      </c>
      <c r="V105" s="4" t="s">
        <v>1093</v>
      </c>
      <c r="W105" s="5" t="s">
        <v>53</v>
      </c>
      <c r="X105" s="4" t="s">
        <v>54</v>
      </c>
      <c r="Y105" s="4"/>
      <c r="Z105" s="5" t="s">
        <v>53</v>
      </c>
      <c r="AA105" s="4" t="s">
        <v>54</v>
      </c>
      <c r="AB105" s="4"/>
      <c r="AC105" s="5" t="s">
        <v>53</v>
      </c>
      <c r="AD105" s="4" t="s">
        <v>54</v>
      </c>
      <c r="AE105" s="4"/>
      <c r="AF105" s="4" t="s">
        <v>53</v>
      </c>
      <c r="AG105" s="4" t="s">
        <v>55</v>
      </c>
      <c r="AH105" s="5" t="s">
        <v>53</v>
      </c>
      <c r="AI105" s="4"/>
      <c r="AJ105" s="4"/>
    </row>
    <row r="106" ht="101.25" customHeight="1" spans="1:36" x14ac:dyDescent="0.25">
      <c r="A106" s="1" t="s">
        <v>35</v>
      </c>
      <c r="B106" s="1" t="s">
        <v>36</v>
      </c>
      <c r="C106" s="1" t="s">
        <v>1094</v>
      </c>
      <c r="D106" s="1" t="s">
        <v>1095</v>
      </c>
      <c r="E106" s="1">
        <f t="shared" si="0"/>
        <v>0.04</v>
      </c>
      <c r="F106" s="1" t="s">
        <v>1096</v>
      </c>
      <c r="G106" s="1" t="s">
        <v>1097</v>
      </c>
      <c r="H106" s="1">
        <f t="shared" ref="H106:H108" si="20">1/3</f>
        <v>0.3333333333</v>
      </c>
      <c r="I106" s="4" t="s">
        <v>1098</v>
      </c>
      <c r="J106" s="4" t="s">
        <v>1099</v>
      </c>
      <c r="K106" s="4" t="s">
        <v>1100</v>
      </c>
      <c r="L106" s="4" t="s">
        <v>1101</v>
      </c>
      <c r="M106" s="4" t="s">
        <v>1102</v>
      </c>
      <c r="N106" s="1" t="s">
        <v>46</v>
      </c>
      <c r="O106" s="1" t="s">
        <v>47</v>
      </c>
      <c r="P106" t="s">
        <v>65</v>
      </c>
      <c r="Q106" s="4" t="s">
        <v>1103</v>
      </c>
      <c r="R106" s="2"/>
      <c r="S106" s="1"/>
      <c r="T106" s="1" t="s">
        <v>319</v>
      </c>
      <c r="U106" s="4" t="s">
        <v>1104</v>
      </c>
      <c r="V106" s="4" t="s">
        <v>52</v>
      </c>
      <c r="W106" s="5" t="s">
        <v>53</v>
      </c>
      <c r="X106" s="4" t="s">
        <v>54</v>
      </c>
      <c r="Y106" s="4"/>
      <c r="Z106" s="5" t="s">
        <v>53</v>
      </c>
      <c r="AA106" s="4" t="s">
        <v>54</v>
      </c>
      <c r="AB106" s="4"/>
      <c r="AC106" s="5" t="s">
        <v>53</v>
      </c>
      <c r="AD106" s="4" t="s">
        <v>54</v>
      </c>
      <c r="AE106" s="4"/>
      <c r="AF106" s="4" t="s">
        <v>53</v>
      </c>
      <c r="AG106" s="4" t="s">
        <v>55</v>
      </c>
      <c r="AH106" s="5" t="s">
        <v>53</v>
      </c>
      <c r="AI106" s="4"/>
      <c r="AJ106" s="4"/>
    </row>
    <row r="107" ht="101.25" customHeight="1" spans="1:36" x14ac:dyDescent="0.25">
      <c r="A107" s="1" t="s">
        <v>35</v>
      </c>
      <c r="B107" s="1" t="s">
        <v>36</v>
      </c>
      <c r="C107" s="1" t="s">
        <v>1094</v>
      </c>
      <c r="D107" s="1" t="s">
        <v>1095</v>
      </c>
      <c r="E107" s="1">
        <f t="shared" si="0"/>
        <v>0.04</v>
      </c>
      <c r="F107" s="1" t="s">
        <v>1105</v>
      </c>
      <c r="G107" s="1" t="s">
        <v>1106</v>
      </c>
      <c r="H107" s="1">
        <f t="shared" si="20"/>
        <v>0.3333333333</v>
      </c>
      <c r="I107" s="4" t="s">
        <v>1107</v>
      </c>
      <c r="J107" s="4" t="s">
        <v>1108</v>
      </c>
      <c r="K107" s="4" t="s">
        <v>1109</v>
      </c>
      <c r="L107" s="4" t="s">
        <v>1110</v>
      </c>
      <c r="M107" s="4" t="s">
        <v>1111</v>
      </c>
      <c r="N107" s="1" t="s">
        <v>46</v>
      </c>
      <c r="O107" s="1" t="s">
        <v>47</v>
      </c>
      <c r="P107" t="s">
        <v>65</v>
      </c>
      <c r="Q107" s="4" t="s">
        <v>1112</v>
      </c>
      <c r="R107" s="2"/>
      <c r="S107" s="1"/>
      <c r="T107" s="1" t="s">
        <v>319</v>
      </c>
      <c r="U107" s="4" t="s">
        <v>1113</v>
      </c>
      <c r="V107" s="4" t="s">
        <v>52</v>
      </c>
      <c r="W107" s="5" t="s">
        <v>53</v>
      </c>
      <c r="X107" s="4" t="s">
        <v>54</v>
      </c>
      <c r="Y107" s="4"/>
      <c r="Z107" s="5" t="s">
        <v>53</v>
      </c>
      <c r="AA107" s="4" t="s">
        <v>54</v>
      </c>
      <c r="AB107" s="4"/>
      <c r="AC107" s="5" t="s">
        <v>53</v>
      </c>
      <c r="AD107" s="4" t="s">
        <v>54</v>
      </c>
      <c r="AE107" s="4"/>
      <c r="AF107" s="4" t="s">
        <v>53</v>
      </c>
      <c r="AG107" s="4" t="s">
        <v>55</v>
      </c>
      <c r="AH107" s="5" t="s">
        <v>53</v>
      </c>
      <c r="AI107" s="4"/>
      <c r="AJ107" s="4"/>
    </row>
    <row r="108" ht="101.25" customHeight="1" spans="1:36" x14ac:dyDescent="0.25">
      <c r="A108" s="1" t="s">
        <v>35</v>
      </c>
      <c r="B108" s="1" t="s">
        <v>36</v>
      </c>
      <c r="C108" s="1" t="s">
        <v>1094</v>
      </c>
      <c r="D108" s="1" t="s">
        <v>1095</v>
      </c>
      <c r="E108" s="1">
        <f t="shared" si="0"/>
        <v>0.04</v>
      </c>
      <c r="F108" s="1" t="s">
        <v>1114</v>
      </c>
      <c r="G108" s="1" t="s">
        <v>1115</v>
      </c>
      <c r="H108" s="1">
        <f t="shared" si="20"/>
        <v>0.3333333333</v>
      </c>
      <c r="I108" s="4" t="s">
        <v>1116</v>
      </c>
      <c r="J108" s="4" t="s">
        <v>1117</v>
      </c>
      <c r="K108" s="4" t="s">
        <v>1118</v>
      </c>
      <c r="L108" s="4" t="s">
        <v>1119</v>
      </c>
      <c r="M108" s="4" t="s">
        <v>1120</v>
      </c>
      <c r="N108" s="1" t="s">
        <v>46</v>
      </c>
      <c r="O108" s="1" t="s">
        <v>47</v>
      </c>
      <c r="P108" t="s">
        <v>65</v>
      </c>
      <c r="Q108" s="4" t="s">
        <v>1121</v>
      </c>
      <c r="R108" s="2"/>
      <c r="S108" s="1"/>
      <c r="T108" s="1" t="s">
        <v>319</v>
      </c>
      <c r="U108" s="4" t="s">
        <v>1122</v>
      </c>
      <c r="V108" s="4" t="s">
        <v>1123</v>
      </c>
      <c r="W108" s="5" t="s">
        <v>53</v>
      </c>
      <c r="X108" s="4" t="s">
        <v>54</v>
      </c>
      <c r="Y108" s="4"/>
      <c r="Z108" s="5" t="s">
        <v>53</v>
      </c>
      <c r="AA108" s="4" t="s">
        <v>54</v>
      </c>
      <c r="AB108" s="4"/>
      <c r="AC108" s="5" t="s">
        <v>53</v>
      </c>
      <c r="AD108" s="4" t="s">
        <v>54</v>
      </c>
      <c r="AE108" s="4"/>
      <c r="AF108" s="4" t="s">
        <v>53</v>
      </c>
      <c r="AG108" s="4" t="s">
        <v>55</v>
      </c>
      <c r="AH108" s="5" t="s">
        <v>53</v>
      </c>
      <c r="AI108" s="4"/>
      <c r="AJ108" s="4"/>
    </row>
    <row r="109" ht="101.25" customHeight="1" spans="1:36" x14ac:dyDescent="0.25">
      <c r="A109" s="1" t="s">
        <v>35</v>
      </c>
      <c r="B109" s="1" t="s">
        <v>36</v>
      </c>
      <c r="C109" s="1" t="s">
        <v>1124</v>
      </c>
      <c r="D109" s="1" t="s">
        <v>1125</v>
      </c>
      <c r="E109" s="1">
        <f t="shared" si="0"/>
        <v>0.04</v>
      </c>
      <c r="F109" s="1" t="s">
        <v>1126</v>
      </c>
      <c r="G109" s="1" t="s">
        <v>1127</v>
      </c>
      <c r="H109" s="1">
        <f t="shared" ref="H109:H120" si="21">1/6</f>
        <v>0.1666666667</v>
      </c>
      <c r="I109" s="4" t="s">
        <v>1128</v>
      </c>
      <c r="J109" s="4" t="s">
        <v>1129</v>
      </c>
      <c r="K109" s="4" t="s">
        <v>1130</v>
      </c>
      <c r="L109" s="4" t="s">
        <v>1131</v>
      </c>
      <c r="M109" s="4" t="s">
        <v>1132</v>
      </c>
      <c r="N109" s="1" t="s">
        <v>46</v>
      </c>
      <c r="O109" s="1" t="s">
        <v>47</v>
      </c>
      <c r="P109" t="s">
        <v>65</v>
      </c>
      <c r="Q109" s="4" t="s">
        <v>1133</v>
      </c>
      <c r="R109" s="2"/>
      <c r="S109" s="1"/>
      <c r="T109" s="1" t="s">
        <v>319</v>
      </c>
      <c r="U109" s="4" t="s">
        <v>1134</v>
      </c>
      <c r="V109" s="4" t="s">
        <v>1135</v>
      </c>
      <c r="W109" s="5" t="s">
        <v>53</v>
      </c>
      <c r="X109" s="4" t="s">
        <v>54</v>
      </c>
      <c r="Y109" s="4"/>
      <c r="Z109" s="5" t="s">
        <v>53</v>
      </c>
      <c r="AA109" s="4" t="s">
        <v>54</v>
      </c>
      <c r="AB109" s="4"/>
      <c r="AC109" s="5" t="s">
        <v>53</v>
      </c>
      <c r="AD109" s="4" t="s">
        <v>54</v>
      </c>
      <c r="AE109" s="4"/>
      <c r="AF109" s="4" t="s">
        <v>53</v>
      </c>
      <c r="AG109" s="4" t="s">
        <v>55</v>
      </c>
      <c r="AH109" s="5" t="s">
        <v>53</v>
      </c>
      <c r="AI109" s="4"/>
      <c r="AJ109" s="4"/>
    </row>
    <row r="110" ht="101.25" customHeight="1" spans="1:36" x14ac:dyDescent="0.25">
      <c r="A110" s="1" t="s">
        <v>35</v>
      </c>
      <c r="B110" s="1" t="s">
        <v>36</v>
      </c>
      <c r="C110" s="1" t="s">
        <v>1124</v>
      </c>
      <c r="D110" s="1" t="s">
        <v>1125</v>
      </c>
      <c r="E110" s="1">
        <f t="shared" si="0"/>
        <v>0.04</v>
      </c>
      <c r="F110" s="1" t="s">
        <v>1136</v>
      </c>
      <c r="G110" s="1" t="s">
        <v>1137</v>
      </c>
      <c r="H110" s="1">
        <f t="shared" si="21"/>
        <v>0.1666666667</v>
      </c>
      <c r="I110" s="4" t="s">
        <v>1138</v>
      </c>
      <c r="J110" s="4" t="s">
        <v>1139</v>
      </c>
      <c r="K110" s="4" t="s">
        <v>1140</v>
      </c>
      <c r="L110" s="4" t="s">
        <v>1141</v>
      </c>
      <c r="M110" s="4" t="s">
        <v>1142</v>
      </c>
      <c r="N110" s="1" t="s">
        <v>46</v>
      </c>
      <c r="O110" s="1" t="s">
        <v>47</v>
      </c>
      <c r="P110" t="s">
        <v>65</v>
      </c>
      <c r="Q110" s="4" t="s">
        <v>1143</v>
      </c>
      <c r="R110" s="2"/>
      <c r="S110" s="1"/>
      <c r="T110" s="1"/>
      <c r="U110" s="4" t="s">
        <v>1144</v>
      </c>
      <c r="V110" s="4" t="s">
        <v>1145</v>
      </c>
      <c r="W110" s="5" t="s">
        <v>53</v>
      </c>
      <c r="X110" s="4" t="s">
        <v>54</v>
      </c>
      <c r="Y110" s="4"/>
      <c r="Z110" s="5" t="s">
        <v>53</v>
      </c>
      <c r="AA110" s="4" t="s">
        <v>54</v>
      </c>
      <c r="AB110" s="4"/>
      <c r="AC110" s="5" t="s">
        <v>53</v>
      </c>
      <c r="AD110" s="4" t="s">
        <v>54</v>
      </c>
      <c r="AE110" s="4"/>
      <c r="AF110" s="4" t="s">
        <v>53</v>
      </c>
      <c r="AG110" s="4" t="s">
        <v>55</v>
      </c>
      <c r="AH110" s="5" t="s">
        <v>53</v>
      </c>
      <c r="AI110" s="4"/>
      <c r="AJ110" s="4"/>
    </row>
    <row r="111" ht="101.25" customHeight="1" spans="1:36" x14ac:dyDescent="0.25">
      <c r="A111" s="1" t="s">
        <v>35</v>
      </c>
      <c r="B111" s="1" t="s">
        <v>36</v>
      </c>
      <c r="C111" s="1" t="s">
        <v>1124</v>
      </c>
      <c r="D111" s="1" t="s">
        <v>1125</v>
      </c>
      <c r="E111" s="1">
        <f t="shared" si="0"/>
        <v>0.04</v>
      </c>
      <c r="F111" s="1" t="s">
        <v>1146</v>
      </c>
      <c r="G111" s="1" t="s">
        <v>1147</v>
      </c>
      <c r="H111" s="1">
        <f t="shared" si="21"/>
        <v>0.1666666667</v>
      </c>
      <c r="I111" s="4" t="s">
        <v>1148</v>
      </c>
      <c r="J111" s="4" t="s">
        <v>1149</v>
      </c>
      <c r="K111" s="4" t="s">
        <v>1150</v>
      </c>
      <c r="L111" s="4" t="s">
        <v>1151</v>
      </c>
      <c r="M111" s="4" t="s">
        <v>1152</v>
      </c>
      <c r="N111" s="1" t="s">
        <v>46</v>
      </c>
      <c r="O111" s="1" t="s">
        <v>47</v>
      </c>
      <c r="P111" t="s">
        <v>65</v>
      </c>
      <c r="Q111" s="4" t="s">
        <v>1153</v>
      </c>
      <c r="R111" s="2"/>
      <c r="S111" s="1"/>
      <c r="T111" s="1" t="s">
        <v>319</v>
      </c>
      <c r="U111" s="4" t="s">
        <v>1154</v>
      </c>
      <c r="V111" s="4" t="s">
        <v>52</v>
      </c>
      <c r="W111" s="5" t="s">
        <v>53</v>
      </c>
      <c r="X111" s="4" t="s">
        <v>54</v>
      </c>
      <c r="Y111" s="4"/>
      <c r="Z111" s="5" t="s">
        <v>53</v>
      </c>
      <c r="AA111" s="4" t="s">
        <v>54</v>
      </c>
      <c r="AB111" s="4"/>
      <c r="AC111" s="5" t="s">
        <v>53</v>
      </c>
      <c r="AD111" s="4" t="s">
        <v>54</v>
      </c>
      <c r="AE111" s="4"/>
      <c r="AF111" s="4" t="s">
        <v>53</v>
      </c>
      <c r="AG111" s="4" t="s">
        <v>55</v>
      </c>
      <c r="AH111" s="5" t="s">
        <v>53</v>
      </c>
      <c r="AI111" s="4"/>
      <c r="AJ111" s="4"/>
    </row>
    <row r="112" ht="101.25" customHeight="1" spans="1:36" x14ac:dyDescent="0.25">
      <c r="A112" s="1" t="s">
        <v>35</v>
      </c>
      <c r="B112" s="1" t="s">
        <v>36</v>
      </c>
      <c r="C112" s="1" t="s">
        <v>1124</v>
      </c>
      <c r="D112" s="1" t="s">
        <v>1125</v>
      </c>
      <c r="E112" s="1">
        <f t="shared" si="0"/>
        <v>0.04</v>
      </c>
      <c r="F112" s="1" t="s">
        <v>1155</v>
      </c>
      <c r="G112" s="1" t="s">
        <v>1156</v>
      </c>
      <c r="H112" s="1">
        <f t="shared" si="21"/>
        <v>0.1666666667</v>
      </c>
      <c r="I112" s="4" t="s">
        <v>1157</v>
      </c>
      <c r="J112" s="4" t="s">
        <v>1158</v>
      </c>
      <c r="K112" s="4" t="s">
        <v>1159</v>
      </c>
      <c r="L112" s="4" t="s">
        <v>1160</v>
      </c>
      <c r="M112" s="4" t="s">
        <v>1161</v>
      </c>
      <c r="N112" s="1" t="s">
        <v>46</v>
      </c>
      <c r="O112" s="1" t="s">
        <v>47</v>
      </c>
      <c r="P112" t="s">
        <v>65</v>
      </c>
      <c r="Q112" s="4" t="s">
        <v>1162</v>
      </c>
      <c r="R112" s="2"/>
      <c r="S112" s="1"/>
      <c r="T112" s="1" t="s">
        <v>319</v>
      </c>
      <c r="U112" s="4" t="s">
        <v>1163</v>
      </c>
      <c r="V112" s="4" t="s">
        <v>1164</v>
      </c>
      <c r="W112" s="5" t="s">
        <v>53</v>
      </c>
      <c r="X112" s="4" t="s">
        <v>54</v>
      </c>
      <c r="Y112" s="4"/>
      <c r="Z112" s="5" t="s">
        <v>53</v>
      </c>
      <c r="AA112" s="4" t="s">
        <v>54</v>
      </c>
      <c r="AB112" s="4"/>
      <c r="AC112" s="5" t="s">
        <v>53</v>
      </c>
      <c r="AD112" s="4" t="s">
        <v>54</v>
      </c>
      <c r="AE112" s="4"/>
      <c r="AF112" s="4" t="s">
        <v>53</v>
      </c>
      <c r="AG112" s="4" t="s">
        <v>55</v>
      </c>
      <c r="AH112" s="5" t="s">
        <v>53</v>
      </c>
      <c r="AI112" s="4"/>
      <c r="AJ112" s="4"/>
    </row>
    <row r="113" ht="101.25" customHeight="1" spans="1:36" x14ac:dyDescent="0.25">
      <c r="A113" s="1" t="s">
        <v>35</v>
      </c>
      <c r="B113" s="1" t="s">
        <v>36</v>
      </c>
      <c r="C113" s="1" t="s">
        <v>1124</v>
      </c>
      <c r="D113" s="1" t="s">
        <v>1125</v>
      </c>
      <c r="E113" s="1">
        <f t="shared" si="0"/>
        <v>0.04</v>
      </c>
      <c r="F113" s="1" t="s">
        <v>1165</v>
      </c>
      <c r="G113" s="1" t="s">
        <v>1166</v>
      </c>
      <c r="H113" s="1">
        <f t="shared" si="21"/>
        <v>0.1666666667</v>
      </c>
      <c r="I113" s="4" t="s">
        <v>1167</v>
      </c>
      <c r="J113" s="4" t="s">
        <v>1168</v>
      </c>
      <c r="K113" s="4" t="s">
        <v>1169</v>
      </c>
      <c r="L113" s="4" t="s">
        <v>1170</v>
      </c>
      <c r="M113" s="4" t="s">
        <v>1171</v>
      </c>
      <c r="N113" s="1" t="s">
        <v>46</v>
      </c>
      <c r="O113" s="1" t="s">
        <v>47</v>
      </c>
      <c r="P113" t="s">
        <v>65</v>
      </c>
      <c r="Q113" s="4" t="s">
        <v>1172</v>
      </c>
      <c r="R113" s="2"/>
      <c r="S113" s="1"/>
      <c r="T113" s="1" t="s">
        <v>319</v>
      </c>
      <c r="U113" s="4" t="s">
        <v>1173</v>
      </c>
      <c r="V113" s="4" t="s">
        <v>1174</v>
      </c>
      <c r="W113" s="5" t="s">
        <v>53</v>
      </c>
      <c r="X113" s="4" t="s">
        <v>54</v>
      </c>
      <c r="Y113" s="4"/>
      <c r="Z113" s="5" t="s">
        <v>53</v>
      </c>
      <c r="AA113" s="4" t="s">
        <v>54</v>
      </c>
      <c r="AB113" s="4"/>
      <c r="AC113" s="5" t="s">
        <v>53</v>
      </c>
      <c r="AD113" s="4" t="s">
        <v>54</v>
      </c>
      <c r="AE113" s="4"/>
      <c r="AF113" s="4" t="s">
        <v>53</v>
      </c>
      <c r="AG113" s="4" t="s">
        <v>55</v>
      </c>
      <c r="AH113" s="5" t="s">
        <v>53</v>
      </c>
      <c r="AI113" s="4"/>
      <c r="AJ113" s="4"/>
    </row>
    <row r="114" ht="101.25" customHeight="1" spans="1:36" x14ac:dyDescent="0.25">
      <c r="A114" s="1" t="s">
        <v>35</v>
      </c>
      <c r="B114" s="1" t="s">
        <v>36</v>
      </c>
      <c r="C114" s="1" t="s">
        <v>1124</v>
      </c>
      <c r="D114" s="1" t="s">
        <v>1125</v>
      </c>
      <c r="E114" s="1">
        <f t="shared" si="0"/>
        <v>0.04</v>
      </c>
      <c r="F114" s="1" t="s">
        <v>1175</v>
      </c>
      <c r="G114" s="1" t="s">
        <v>1176</v>
      </c>
      <c r="H114" s="1">
        <f t="shared" si="21"/>
        <v>0.1666666667</v>
      </c>
      <c r="I114" s="4" t="s">
        <v>1177</v>
      </c>
      <c r="J114" s="4" t="s">
        <v>1178</v>
      </c>
      <c r="K114" s="4" t="s">
        <v>1179</v>
      </c>
      <c r="L114" s="4" t="s">
        <v>1180</v>
      </c>
      <c r="M114" s="4" t="s">
        <v>1181</v>
      </c>
      <c r="N114" s="1" t="s">
        <v>46</v>
      </c>
      <c r="O114" s="1" t="s">
        <v>47</v>
      </c>
      <c r="P114" t="s">
        <v>65</v>
      </c>
      <c r="Q114" s="4" t="s">
        <v>1182</v>
      </c>
      <c r="R114" s="2"/>
      <c r="S114" s="1"/>
      <c r="T114" s="1" t="s">
        <v>319</v>
      </c>
      <c r="U114" s="4" t="s">
        <v>1183</v>
      </c>
      <c r="V114" s="4" t="s">
        <v>1184</v>
      </c>
      <c r="W114" s="5" t="s">
        <v>53</v>
      </c>
      <c r="X114" s="4" t="s">
        <v>54</v>
      </c>
      <c r="Y114" s="4"/>
      <c r="Z114" s="5" t="s">
        <v>53</v>
      </c>
      <c r="AA114" s="4" t="s">
        <v>54</v>
      </c>
      <c r="AB114" s="4"/>
      <c r="AC114" s="5" t="s">
        <v>53</v>
      </c>
      <c r="AD114" s="4" t="s">
        <v>54</v>
      </c>
      <c r="AE114" s="4"/>
      <c r="AF114" s="4" t="s">
        <v>53</v>
      </c>
      <c r="AG114" s="4" t="s">
        <v>55</v>
      </c>
      <c r="AH114" s="5" t="s">
        <v>53</v>
      </c>
      <c r="AI114" s="4"/>
      <c r="AJ114" s="4"/>
    </row>
    <row r="115" ht="101.25" customHeight="1" spans="1:36" x14ac:dyDescent="0.25">
      <c r="A115" s="1" t="s">
        <v>35</v>
      </c>
      <c r="B115" s="1" t="s">
        <v>36</v>
      </c>
      <c r="C115" s="1" t="s">
        <v>1185</v>
      </c>
      <c r="D115" s="1" t="s">
        <v>1186</v>
      </c>
      <c r="E115" s="1">
        <f t="shared" si="0"/>
        <v>0.04</v>
      </c>
      <c r="F115" s="1" t="s">
        <v>1187</v>
      </c>
      <c r="G115" s="1" t="s">
        <v>1188</v>
      </c>
      <c r="H115" s="1">
        <f t="shared" si="21"/>
        <v>0.1666666667</v>
      </c>
      <c r="I115" s="4" t="s">
        <v>1189</v>
      </c>
      <c r="J115" s="4" t="s">
        <v>1190</v>
      </c>
      <c r="K115" s="4" t="s">
        <v>1191</v>
      </c>
      <c r="L115" s="4" t="s">
        <v>1192</v>
      </c>
      <c r="M115" s="4" t="s">
        <v>1193</v>
      </c>
      <c r="N115" s="1" t="s">
        <v>46</v>
      </c>
      <c r="O115" s="1" t="s">
        <v>47</v>
      </c>
      <c r="P115" t="s">
        <v>65</v>
      </c>
      <c r="Q115" s="4" t="s">
        <v>1194</v>
      </c>
      <c r="R115" s="2"/>
      <c r="S115" s="1"/>
      <c r="T115" s="1" t="s">
        <v>319</v>
      </c>
      <c r="U115" s="4" t="s">
        <v>1195</v>
      </c>
      <c r="V115" s="4" t="s">
        <v>52</v>
      </c>
      <c r="W115" s="5" t="s">
        <v>53</v>
      </c>
      <c r="X115" s="4" t="s">
        <v>54</v>
      </c>
      <c r="Y115" s="4"/>
      <c r="Z115" s="5" t="s">
        <v>53</v>
      </c>
      <c r="AA115" s="4" t="s">
        <v>54</v>
      </c>
      <c r="AB115" s="4"/>
      <c r="AC115" s="5" t="s">
        <v>53</v>
      </c>
      <c r="AD115" s="4" t="s">
        <v>54</v>
      </c>
      <c r="AE115" s="4"/>
      <c r="AF115" s="4" t="s">
        <v>53</v>
      </c>
      <c r="AG115" s="4" t="s">
        <v>55</v>
      </c>
      <c r="AH115" s="5" t="s">
        <v>53</v>
      </c>
      <c r="AI115" s="4"/>
      <c r="AJ115" s="4"/>
    </row>
    <row r="116" ht="101.25" customHeight="1" spans="1:36" x14ac:dyDescent="0.25">
      <c r="A116" s="1" t="s">
        <v>35</v>
      </c>
      <c r="B116" s="1" t="s">
        <v>36</v>
      </c>
      <c r="C116" s="1" t="s">
        <v>1185</v>
      </c>
      <c r="D116" s="1" t="s">
        <v>1186</v>
      </c>
      <c r="E116" s="1">
        <f t="shared" si="0"/>
        <v>0.04</v>
      </c>
      <c r="F116" s="1" t="s">
        <v>1196</v>
      </c>
      <c r="G116" s="1" t="s">
        <v>1197</v>
      </c>
      <c r="H116" s="1">
        <f t="shared" si="21"/>
        <v>0.1666666667</v>
      </c>
      <c r="I116" s="4" t="s">
        <v>1198</v>
      </c>
      <c r="J116" s="4" t="s">
        <v>1199</v>
      </c>
      <c r="K116" s="4" t="s">
        <v>1200</v>
      </c>
      <c r="L116" s="4" t="s">
        <v>1201</v>
      </c>
      <c r="M116" s="4" t="s">
        <v>1202</v>
      </c>
      <c r="N116" s="1" t="s">
        <v>46</v>
      </c>
      <c r="O116" s="1" t="s">
        <v>47</v>
      </c>
      <c r="P116" t="s">
        <v>65</v>
      </c>
      <c r="Q116" s="4" t="s">
        <v>1203</v>
      </c>
      <c r="R116" s="2"/>
      <c r="S116" s="1"/>
      <c r="T116" s="1" t="s">
        <v>319</v>
      </c>
      <c r="U116" s="4" t="s">
        <v>1204</v>
      </c>
      <c r="V116" s="4" t="s">
        <v>52</v>
      </c>
      <c r="W116" s="5" t="s">
        <v>53</v>
      </c>
      <c r="X116" s="4" t="s">
        <v>54</v>
      </c>
      <c r="Y116" s="4"/>
      <c r="Z116" s="5" t="s">
        <v>53</v>
      </c>
      <c r="AA116" s="4" t="s">
        <v>54</v>
      </c>
      <c r="AB116" s="4"/>
      <c r="AC116" s="5" t="s">
        <v>53</v>
      </c>
      <c r="AD116" s="4" t="s">
        <v>54</v>
      </c>
      <c r="AE116" s="4"/>
      <c r="AF116" s="4" t="s">
        <v>53</v>
      </c>
      <c r="AG116" s="4" t="s">
        <v>55</v>
      </c>
      <c r="AH116" s="5" t="s">
        <v>53</v>
      </c>
      <c r="AI116" s="4"/>
      <c r="AJ116" s="4"/>
    </row>
    <row r="117" ht="101.25" customHeight="1" spans="1:36" x14ac:dyDescent="0.25">
      <c r="A117" s="1" t="s">
        <v>35</v>
      </c>
      <c r="B117" s="1" t="s">
        <v>36</v>
      </c>
      <c r="C117" s="1" t="s">
        <v>1185</v>
      </c>
      <c r="D117" s="1" t="s">
        <v>1186</v>
      </c>
      <c r="E117" s="1">
        <f t="shared" si="0"/>
        <v>0.04</v>
      </c>
      <c r="F117" s="1" t="s">
        <v>1205</v>
      </c>
      <c r="G117" s="1" t="s">
        <v>1206</v>
      </c>
      <c r="H117" s="1">
        <f t="shared" si="21"/>
        <v>0.1666666667</v>
      </c>
      <c r="I117" s="4" t="s">
        <v>1207</v>
      </c>
      <c r="J117" s="4" t="s">
        <v>1208</v>
      </c>
      <c r="K117" s="4" t="s">
        <v>1209</v>
      </c>
      <c r="L117" s="4" t="s">
        <v>1210</v>
      </c>
      <c r="M117" s="4" t="s">
        <v>1211</v>
      </c>
      <c r="N117" s="1" t="s">
        <v>46</v>
      </c>
      <c r="O117" s="1" t="s">
        <v>47</v>
      </c>
      <c r="P117" t="s">
        <v>65</v>
      </c>
      <c r="Q117" s="4" t="s">
        <v>1212</v>
      </c>
      <c r="R117" s="2"/>
      <c r="S117" s="1"/>
      <c r="T117" s="1"/>
      <c r="U117" s="4" t="s">
        <v>1213</v>
      </c>
      <c r="V117" s="4" t="s">
        <v>52</v>
      </c>
      <c r="W117" s="5" t="s">
        <v>53</v>
      </c>
      <c r="X117" s="4" t="s">
        <v>54</v>
      </c>
      <c r="Y117" s="4"/>
      <c r="Z117" s="5" t="s">
        <v>53</v>
      </c>
      <c r="AA117" s="4" t="s">
        <v>54</v>
      </c>
      <c r="AB117" s="4"/>
      <c r="AC117" s="5" t="s">
        <v>53</v>
      </c>
      <c r="AD117" s="4" t="s">
        <v>54</v>
      </c>
      <c r="AE117" s="4"/>
      <c r="AF117" s="4" t="s">
        <v>53</v>
      </c>
      <c r="AG117" s="4" t="s">
        <v>55</v>
      </c>
      <c r="AH117" s="5" t="s">
        <v>53</v>
      </c>
      <c r="AI117" s="4"/>
      <c r="AJ117" s="4"/>
    </row>
    <row r="118" ht="101.25" customHeight="1" spans="1:36" x14ac:dyDescent="0.25">
      <c r="A118" s="1" t="s">
        <v>35</v>
      </c>
      <c r="B118" s="1" t="s">
        <v>36</v>
      </c>
      <c r="C118" s="1" t="s">
        <v>1185</v>
      </c>
      <c r="D118" s="1" t="s">
        <v>1186</v>
      </c>
      <c r="E118" s="1">
        <f t="shared" si="0"/>
        <v>0.04</v>
      </c>
      <c r="F118" s="1" t="s">
        <v>1214</v>
      </c>
      <c r="G118" s="1" t="s">
        <v>1215</v>
      </c>
      <c r="H118" s="1">
        <f t="shared" si="21"/>
        <v>0.1666666667</v>
      </c>
      <c r="I118" s="4" t="s">
        <v>1216</v>
      </c>
      <c r="J118" s="4" t="s">
        <v>1217</v>
      </c>
      <c r="K118" s="4" t="s">
        <v>1218</v>
      </c>
      <c r="L118" s="4" t="s">
        <v>1219</v>
      </c>
      <c r="M118" s="4" t="s">
        <v>1220</v>
      </c>
      <c r="N118" s="1" t="s">
        <v>46</v>
      </c>
      <c r="O118" s="1" t="s">
        <v>47</v>
      </c>
      <c r="P118" t="s">
        <v>65</v>
      </c>
      <c r="Q118" s="4" t="s">
        <v>1221</v>
      </c>
      <c r="R118" s="2"/>
      <c r="S118" s="1"/>
      <c r="T118" s="1" t="s">
        <v>319</v>
      </c>
      <c r="U118" s="4" t="s">
        <v>1222</v>
      </c>
      <c r="V118" s="4" t="s">
        <v>52</v>
      </c>
      <c r="W118" s="5" t="s">
        <v>53</v>
      </c>
      <c r="X118" s="4" t="s">
        <v>54</v>
      </c>
      <c r="Y118" s="4"/>
      <c r="Z118" s="5" t="s">
        <v>53</v>
      </c>
      <c r="AA118" s="4" t="s">
        <v>54</v>
      </c>
      <c r="AB118" s="4"/>
      <c r="AC118" s="5" t="s">
        <v>53</v>
      </c>
      <c r="AD118" s="4" t="s">
        <v>54</v>
      </c>
      <c r="AE118" s="4"/>
      <c r="AF118" s="4" t="s">
        <v>53</v>
      </c>
      <c r="AG118" s="4" t="s">
        <v>55</v>
      </c>
      <c r="AH118" s="5" t="s">
        <v>53</v>
      </c>
      <c r="AI118" s="4"/>
      <c r="AJ118" s="4"/>
    </row>
    <row r="119" ht="101.25" customHeight="1" spans="1:36" x14ac:dyDescent="0.25">
      <c r="A119" s="1" t="s">
        <v>35</v>
      </c>
      <c r="B119" s="1" t="s">
        <v>36</v>
      </c>
      <c r="C119" s="1" t="s">
        <v>1185</v>
      </c>
      <c r="D119" s="1" t="s">
        <v>1186</v>
      </c>
      <c r="E119" s="1">
        <f t="shared" si="0"/>
        <v>0.04</v>
      </c>
      <c r="F119" s="1" t="s">
        <v>1223</v>
      </c>
      <c r="G119" s="1" t="s">
        <v>1224</v>
      </c>
      <c r="H119" s="1">
        <f t="shared" si="21"/>
        <v>0.1666666667</v>
      </c>
      <c r="I119" s="4" t="s">
        <v>1225</v>
      </c>
      <c r="J119" s="4" t="s">
        <v>1226</v>
      </c>
      <c r="K119" s="4" t="s">
        <v>1227</v>
      </c>
      <c r="L119" s="4" t="s">
        <v>1228</v>
      </c>
      <c r="M119" s="4" t="s">
        <v>1229</v>
      </c>
      <c r="N119" s="1" t="s">
        <v>46</v>
      </c>
      <c r="O119" s="1" t="s">
        <v>47</v>
      </c>
      <c r="P119" t="s">
        <v>65</v>
      </c>
      <c r="Q119" s="4" t="s">
        <v>1230</v>
      </c>
      <c r="R119" s="2"/>
      <c r="S119" s="1"/>
      <c r="T119" s="1" t="s">
        <v>319</v>
      </c>
      <c r="U119" s="4" t="s">
        <v>1231</v>
      </c>
      <c r="V119" s="4" t="s">
        <v>52</v>
      </c>
      <c r="W119" s="5" t="s">
        <v>53</v>
      </c>
      <c r="X119" s="4" t="s">
        <v>54</v>
      </c>
      <c r="Y119" s="4"/>
      <c r="Z119" s="5" t="s">
        <v>53</v>
      </c>
      <c r="AA119" s="4" t="s">
        <v>54</v>
      </c>
      <c r="AB119" s="4"/>
      <c r="AC119" s="5" t="s">
        <v>53</v>
      </c>
      <c r="AD119" s="4" t="s">
        <v>54</v>
      </c>
      <c r="AE119" s="4"/>
      <c r="AF119" s="4" t="s">
        <v>53</v>
      </c>
      <c r="AG119" s="4" t="s">
        <v>55</v>
      </c>
      <c r="AH119" s="5" t="s">
        <v>53</v>
      </c>
      <c r="AI119" s="4"/>
      <c r="AJ119" s="4"/>
    </row>
    <row r="120" ht="101.25" customHeight="1" spans="1:36" x14ac:dyDescent="0.25">
      <c r="A120" s="1" t="s">
        <v>35</v>
      </c>
      <c r="B120" s="1" t="s">
        <v>36</v>
      </c>
      <c r="C120" s="1" t="s">
        <v>1185</v>
      </c>
      <c r="D120" s="1" t="s">
        <v>1186</v>
      </c>
      <c r="E120" s="1">
        <f t="shared" si="0"/>
        <v>0.04</v>
      </c>
      <c r="F120" s="1" t="s">
        <v>1232</v>
      </c>
      <c r="G120" s="1" t="s">
        <v>1233</v>
      </c>
      <c r="H120" s="1">
        <f t="shared" si="21"/>
        <v>0.1666666667</v>
      </c>
      <c r="I120" s="4" t="s">
        <v>1234</v>
      </c>
      <c r="J120" s="4" t="s">
        <v>1235</v>
      </c>
      <c r="K120" s="4" t="s">
        <v>1236</v>
      </c>
      <c r="L120" s="4" t="s">
        <v>1237</v>
      </c>
      <c r="M120" s="4" t="s">
        <v>1238</v>
      </c>
      <c r="N120" s="1" t="s">
        <v>46</v>
      </c>
      <c r="O120" s="1" t="s">
        <v>47</v>
      </c>
      <c r="P120" t="s">
        <v>65</v>
      </c>
      <c r="Q120" s="4" t="s">
        <v>1239</v>
      </c>
      <c r="R120" s="2"/>
      <c r="S120" s="1"/>
      <c r="T120" s="1" t="s">
        <v>319</v>
      </c>
      <c r="U120" s="4" t="s">
        <v>1240</v>
      </c>
      <c r="V120" s="4" t="s">
        <v>52</v>
      </c>
      <c r="W120" s="5" t="s">
        <v>53</v>
      </c>
      <c r="X120" s="4" t="s">
        <v>54</v>
      </c>
      <c r="Y120" s="4"/>
      <c r="Z120" s="5" t="s">
        <v>53</v>
      </c>
      <c r="AA120" s="4" t="s">
        <v>54</v>
      </c>
      <c r="AB120" s="4"/>
      <c r="AC120" s="5" t="s">
        <v>53</v>
      </c>
      <c r="AD120" s="4" t="s">
        <v>54</v>
      </c>
      <c r="AE120" s="4"/>
      <c r="AF120" s="4" t="s">
        <v>53</v>
      </c>
      <c r="AG120" s="4" t="s">
        <v>55</v>
      </c>
      <c r="AH120" s="5" t="s">
        <v>53</v>
      </c>
      <c r="AI120" s="4"/>
      <c r="AJ120" s="4"/>
    </row>
    <row r="121" ht="14.25" customHeight="1" spans="1:36" x14ac:dyDescent="0.25">
      <c r="A121" s="1"/>
      <c r="B121" s="1"/>
      <c r="C121" s="1"/>
      <c r="D121" s="1"/>
      <c r="E121" s="1"/>
      <c r="F121" s="1"/>
      <c r="G121" s="1"/>
      <c r="H121" s="1"/>
      <c r="I121" s="1"/>
      <c r="J121" s="1"/>
      <c r="K121" s="1"/>
      <c r="L121" s="1"/>
      <c r="M121" s="1"/>
      <c r="N121" s="1"/>
      <c r="O121" s="1"/>
      <c r="Q121" s="1"/>
      <c r="R121" s="2"/>
      <c r="S121" s="1"/>
      <c r="T121" s="1"/>
      <c r="V121" s="1"/>
      <c r="W121" s="1"/>
      <c r="AJ121" s="1"/>
    </row>
    <row r="122" ht="14.25" customHeight="1" spans="1:36" x14ac:dyDescent="0.25">
      <c r="A122" s="1"/>
      <c r="B122" s="1"/>
      <c r="C122" s="1"/>
      <c r="D122" s="1"/>
      <c r="E122" s="1"/>
      <c r="F122" s="1"/>
      <c r="G122" s="1"/>
      <c r="H122" s="1"/>
      <c r="I122" s="1"/>
      <c r="J122" s="1"/>
      <c r="K122" s="1"/>
      <c r="L122" s="1"/>
      <c r="M122" s="1"/>
      <c r="N122" s="1"/>
      <c r="O122" s="1"/>
      <c r="Q122" s="1"/>
      <c r="R122" s="2"/>
      <c r="S122" s="1"/>
      <c r="T122" s="1"/>
      <c r="V122" s="1"/>
      <c r="W122" s="1"/>
      <c r="AJ122" s="1"/>
    </row>
    <row r="123" ht="14.25" customHeight="1" spans="1:36" x14ac:dyDescent="0.25">
      <c r="A123" s="1"/>
      <c r="B123" s="1"/>
      <c r="C123" s="1"/>
      <c r="D123" s="1"/>
      <c r="E123" s="1"/>
      <c r="F123" s="1"/>
      <c r="G123" s="1"/>
      <c r="H123" s="1"/>
      <c r="I123" s="1"/>
      <c r="J123" s="1"/>
      <c r="K123" s="1"/>
      <c r="L123" s="1"/>
      <c r="M123" s="1"/>
      <c r="N123" s="1"/>
      <c r="O123" s="1"/>
      <c r="Q123" s="1"/>
      <c r="R123" s="2"/>
      <c r="S123" s="1"/>
      <c r="T123" s="1"/>
      <c r="V123" s="1"/>
      <c r="W123" s="1"/>
      <c r="AJ123" s="1"/>
    </row>
    <row r="124" ht="14.25" customHeight="1" spans="1:36" x14ac:dyDescent="0.25">
      <c r="A124" s="1"/>
      <c r="B124" s="1"/>
      <c r="C124" s="1"/>
      <c r="D124" s="1"/>
      <c r="E124" s="1"/>
      <c r="F124" s="1"/>
      <c r="G124" s="1"/>
      <c r="H124" s="1"/>
      <c r="I124" s="1"/>
      <c r="J124" s="1"/>
      <c r="K124" s="1"/>
      <c r="L124" s="1"/>
      <c r="M124" s="1"/>
      <c r="N124" s="1"/>
      <c r="O124" s="1"/>
      <c r="Q124" s="1"/>
      <c r="R124" s="2"/>
      <c r="S124" s="1"/>
      <c r="T124" s="1"/>
      <c r="V124" s="1"/>
      <c r="W124" s="1"/>
      <c r="AJ124" s="1"/>
    </row>
    <row r="125" ht="14.25" customHeight="1" spans="1:36" x14ac:dyDescent="0.25">
      <c r="A125" s="1"/>
      <c r="B125" s="1"/>
      <c r="C125" s="1"/>
      <c r="D125" s="1"/>
      <c r="E125" s="1"/>
      <c r="F125" s="1"/>
      <c r="G125" s="1"/>
      <c r="H125" s="1"/>
      <c r="I125" s="1"/>
      <c r="J125" s="1"/>
      <c r="K125" s="1"/>
      <c r="L125" s="1"/>
      <c r="M125" s="1"/>
      <c r="N125" s="1"/>
      <c r="O125" s="1"/>
      <c r="Q125" s="1"/>
      <c r="R125" s="2"/>
      <c r="S125" s="1"/>
      <c r="T125" s="1"/>
      <c r="V125" s="1"/>
      <c r="W125" s="1"/>
      <c r="AJ125" s="1"/>
    </row>
    <row r="126" ht="14.25" customHeight="1" spans="1:36" x14ac:dyDescent="0.25">
      <c r="A126" s="1"/>
      <c r="B126" s="1"/>
      <c r="C126" s="1"/>
      <c r="D126" s="1"/>
      <c r="E126" s="1"/>
      <c r="F126" s="1"/>
      <c r="G126" s="1"/>
      <c r="H126" s="1"/>
      <c r="I126" s="1"/>
      <c r="J126" s="1"/>
      <c r="K126" s="1"/>
      <c r="L126" s="1"/>
      <c r="M126" s="1"/>
      <c r="N126" s="1"/>
      <c r="O126" s="1"/>
      <c r="Q126" s="1"/>
      <c r="R126" s="2"/>
      <c r="S126" s="1"/>
      <c r="T126" s="1"/>
      <c r="V126" s="1"/>
      <c r="W126" s="1"/>
      <c r="AJ126" s="1"/>
    </row>
    <row r="127" ht="14.25" customHeight="1" spans="1:36" x14ac:dyDescent="0.25">
      <c r="A127" s="1"/>
      <c r="B127" s="1"/>
      <c r="C127" s="1"/>
      <c r="D127" s="1"/>
      <c r="E127" s="1"/>
      <c r="F127" s="1"/>
      <c r="G127" s="1"/>
      <c r="H127" s="1"/>
      <c r="I127" s="1"/>
      <c r="J127" s="1"/>
      <c r="K127" s="1"/>
      <c r="L127" s="1"/>
      <c r="M127" s="1"/>
      <c r="N127" s="1"/>
      <c r="O127" s="1"/>
      <c r="Q127" s="1"/>
      <c r="R127" s="2"/>
      <c r="S127" s="1"/>
      <c r="T127" s="1"/>
      <c r="V127" s="1"/>
      <c r="W127" s="1"/>
      <c r="AJ127" s="1"/>
    </row>
    <row r="128" ht="14.25" customHeight="1" spans="1:36" x14ac:dyDescent="0.25">
      <c r="A128" s="1"/>
      <c r="B128" s="1"/>
      <c r="C128" s="1"/>
      <c r="D128" s="1"/>
      <c r="E128" s="1"/>
      <c r="F128" s="1"/>
      <c r="G128" s="1"/>
      <c r="H128" s="1"/>
      <c r="I128" s="1"/>
      <c r="J128" s="1"/>
      <c r="K128" s="1"/>
      <c r="L128" s="1"/>
      <c r="M128" s="1"/>
      <c r="N128" s="1"/>
      <c r="O128" s="1"/>
      <c r="Q128" s="1"/>
      <c r="R128" s="2"/>
      <c r="S128" s="1"/>
      <c r="T128" s="1"/>
      <c r="V128" s="1"/>
      <c r="W128" s="1"/>
      <c r="AJ128" s="1"/>
    </row>
    <row r="129" ht="14.25" customHeight="1" spans="1:36" x14ac:dyDescent="0.25">
      <c r="A129" s="1"/>
      <c r="B129" s="1"/>
      <c r="C129" s="1"/>
      <c r="D129" s="1"/>
      <c r="E129" s="1"/>
      <c r="F129" s="1"/>
      <c r="G129" s="1"/>
      <c r="H129" s="1"/>
      <c r="I129" s="1"/>
      <c r="J129" s="1"/>
      <c r="K129" s="1"/>
      <c r="L129" s="1"/>
      <c r="M129" s="1"/>
      <c r="N129" s="1"/>
      <c r="O129" s="1"/>
      <c r="Q129" s="1"/>
      <c r="R129" s="2"/>
      <c r="S129" s="1"/>
      <c r="T129" s="1"/>
      <c r="V129" s="1"/>
      <c r="W129" s="1"/>
      <c r="AJ129" s="1"/>
    </row>
    <row r="130" ht="14.25" customHeight="1" spans="1:36" x14ac:dyDescent="0.25">
      <c r="A130" s="1"/>
      <c r="B130" s="1"/>
      <c r="C130" s="1"/>
      <c r="D130" s="1"/>
      <c r="E130" s="1"/>
      <c r="F130" s="1"/>
      <c r="G130" s="1"/>
      <c r="H130" s="1"/>
      <c r="I130" s="1"/>
      <c r="J130" s="1"/>
      <c r="K130" s="1"/>
      <c r="L130" s="1"/>
      <c r="M130" s="1"/>
      <c r="N130" s="1"/>
      <c r="O130" s="1"/>
      <c r="Q130" s="1"/>
      <c r="R130" s="2"/>
      <c r="S130" s="1"/>
      <c r="T130" s="1"/>
      <c r="V130" s="1"/>
      <c r="W130" s="1"/>
      <c r="AJ130" s="1"/>
    </row>
    <row r="131" ht="14.25" customHeight="1" spans="1:36" x14ac:dyDescent="0.25">
      <c r="A131" s="1"/>
      <c r="B131" s="1"/>
      <c r="C131" s="1"/>
      <c r="D131" s="1"/>
      <c r="E131" s="1"/>
      <c r="F131" s="1"/>
      <c r="G131" s="1"/>
      <c r="H131" s="1"/>
      <c r="I131" s="1"/>
      <c r="J131" s="1"/>
      <c r="K131" s="1"/>
      <c r="L131" s="1"/>
      <c r="M131" s="1"/>
      <c r="N131" s="1"/>
      <c r="O131" s="1"/>
      <c r="Q131" s="1"/>
      <c r="R131" s="2"/>
      <c r="S131" s="1"/>
      <c r="T131" s="1"/>
      <c r="V131" s="1"/>
      <c r="W131" s="1"/>
      <c r="AJ131" s="1"/>
    </row>
    <row r="132" ht="14.25" customHeight="1" spans="1:36" x14ac:dyDescent="0.25">
      <c r="A132" s="1"/>
      <c r="B132" s="1"/>
      <c r="C132" s="1"/>
      <c r="D132" s="1"/>
      <c r="E132" s="1"/>
      <c r="F132" s="1"/>
      <c r="G132" s="1"/>
      <c r="H132" s="1"/>
      <c r="I132" s="1"/>
      <c r="J132" s="1"/>
      <c r="K132" s="1"/>
      <c r="L132" s="1"/>
      <c r="M132" s="1"/>
      <c r="N132" s="1"/>
      <c r="O132" s="1"/>
      <c r="Q132" s="1"/>
      <c r="R132" s="2"/>
      <c r="S132" s="1"/>
      <c r="T132" s="1"/>
      <c r="V132" s="1"/>
      <c r="W132" s="1"/>
      <c r="AJ132" s="1"/>
    </row>
    <row r="133" ht="14.25" customHeight="1" spans="1:36" x14ac:dyDescent="0.25">
      <c r="A133" s="1"/>
      <c r="B133" s="1"/>
      <c r="C133" s="1"/>
      <c r="D133" s="1"/>
      <c r="E133" s="1"/>
      <c r="F133" s="1"/>
      <c r="G133" s="1"/>
      <c r="H133" s="1"/>
      <c r="I133" s="1"/>
      <c r="J133" s="1"/>
      <c r="K133" s="1"/>
      <c r="L133" s="1"/>
      <c r="M133" s="1"/>
      <c r="N133" s="1"/>
      <c r="O133" s="1"/>
      <c r="Q133" s="1"/>
      <c r="R133" s="2"/>
      <c r="S133" s="1"/>
      <c r="T133" s="1"/>
      <c r="V133" s="1"/>
      <c r="W133" s="1"/>
      <c r="AJ133" s="1"/>
    </row>
    <row r="134" ht="14.25" customHeight="1" spans="1:36" x14ac:dyDescent="0.25">
      <c r="A134" s="1"/>
      <c r="B134" s="1"/>
      <c r="C134" s="1"/>
      <c r="D134" s="1"/>
      <c r="E134" s="1"/>
      <c r="F134" s="1"/>
      <c r="G134" s="1"/>
      <c r="H134" s="1"/>
      <c r="I134" s="1"/>
      <c r="J134" s="1"/>
      <c r="K134" s="1"/>
      <c r="L134" s="1"/>
      <c r="M134" s="1"/>
      <c r="N134" s="1"/>
      <c r="O134" s="1"/>
      <c r="Q134" s="1"/>
      <c r="R134" s="2"/>
      <c r="S134" s="1"/>
      <c r="T134" s="1"/>
      <c r="V134" s="1"/>
      <c r="W134" s="1"/>
      <c r="AJ134" s="1"/>
    </row>
    <row r="135" ht="14.25" customHeight="1" spans="1:36" x14ac:dyDescent="0.25">
      <c r="A135" s="1"/>
      <c r="B135" s="1"/>
      <c r="C135" s="1"/>
      <c r="D135" s="1"/>
      <c r="E135" s="1"/>
      <c r="F135" s="1"/>
      <c r="G135" s="1"/>
      <c r="H135" s="1"/>
      <c r="I135" s="1"/>
      <c r="J135" s="1"/>
      <c r="K135" s="1"/>
      <c r="L135" s="1"/>
      <c r="M135" s="1"/>
      <c r="N135" s="1"/>
      <c r="O135" s="1"/>
      <c r="Q135" s="1"/>
      <c r="R135" s="2"/>
      <c r="S135" s="1"/>
      <c r="T135" s="1"/>
      <c r="V135" s="1"/>
      <c r="W135" s="1"/>
      <c r="AJ135" s="1"/>
    </row>
    <row r="136" ht="14.25" customHeight="1" spans="1:36" x14ac:dyDescent="0.25">
      <c r="A136" s="1"/>
      <c r="B136" s="1"/>
      <c r="C136" s="1"/>
      <c r="D136" s="1"/>
      <c r="E136" s="1"/>
      <c r="F136" s="1"/>
      <c r="G136" s="1"/>
      <c r="H136" s="1"/>
      <c r="I136" s="1"/>
      <c r="J136" s="1"/>
      <c r="K136" s="1"/>
      <c r="L136" s="1"/>
      <c r="M136" s="1"/>
      <c r="N136" s="1"/>
      <c r="O136" s="1"/>
      <c r="Q136" s="1"/>
      <c r="R136" s="2"/>
      <c r="S136" s="1"/>
      <c r="T136" s="1"/>
      <c r="V136" s="1"/>
      <c r="W136" s="1"/>
      <c r="AJ136" s="1"/>
    </row>
    <row r="137" ht="14.25" customHeight="1" spans="1:36" x14ac:dyDescent="0.25">
      <c r="A137" s="1"/>
      <c r="B137" s="1"/>
      <c r="C137" s="1"/>
      <c r="D137" s="1"/>
      <c r="E137" s="1"/>
      <c r="F137" s="1"/>
      <c r="G137" s="1"/>
      <c r="H137" s="1"/>
      <c r="I137" s="1"/>
      <c r="J137" s="1"/>
      <c r="K137" s="1"/>
      <c r="L137" s="1"/>
      <c r="M137" s="1"/>
      <c r="N137" s="1"/>
      <c r="O137" s="1"/>
      <c r="Q137" s="1"/>
      <c r="R137" s="2"/>
      <c r="S137" s="1"/>
      <c r="T137" s="1"/>
      <c r="V137" s="1"/>
      <c r="W137" s="1"/>
      <c r="AJ137" s="1"/>
    </row>
    <row r="138" ht="14.25" customHeight="1" spans="1:36" x14ac:dyDescent="0.25">
      <c r="A138" s="1"/>
      <c r="B138" s="1"/>
      <c r="C138" s="1"/>
      <c r="D138" s="1"/>
      <c r="E138" s="1"/>
      <c r="F138" s="1"/>
      <c r="G138" s="1"/>
      <c r="H138" s="1"/>
      <c r="I138" s="1"/>
      <c r="J138" s="1"/>
      <c r="K138" s="1"/>
      <c r="L138" s="1"/>
      <c r="M138" s="1"/>
      <c r="N138" s="1"/>
      <c r="O138" s="1"/>
      <c r="Q138" s="1"/>
      <c r="R138" s="2"/>
      <c r="S138" s="1"/>
      <c r="T138" s="1"/>
      <c r="V138" s="1"/>
      <c r="W138" s="1"/>
      <c r="AJ138" s="1"/>
    </row>
    <row r="139" ht="14.25" customHeight="1" spans="1:36" x14ac:dyDescent="0.25">
      <c r="A139" s="1"/>
      <c r="B139" s="1"/>
      <c r="C139" s="1"/>
      <c r="D139" s="1"/>
      <c r="E139" s="1"/>
      <c r="F139" s="1"/>
      <c r="G139" s="1"/>
      <c r="H139" s="1"/>
      <c r="I139" s="1"/>
      <c r="J139" s="1"/>
      <c r="K139" s="1"/>
      <c r="L139" s="1"/>
      <c r="M139" s="1"/>
      <c r="N139" s="1"/>
      <c r="O139" s="1"/>
      <c r="Q139" s="1"/>
      <c r="R139" s="2"/>
      <c r="S139" s="1"/>
      <c r="T139" s="1"/>
      <c r="V139" s="1"/>
      <c r="W139" s="1"/>
      <c r="AJ139" s="1"/>
    </row>
    <row r="140" ht="14.25" customHeight="1" spans="1:36" x14ac:dyDescent="0.25">
      <c r="A140" s="1"/>
      <c r="B140" s="1"/>
      <c r="C140" s="1"/>
      <c r="D140" s="1"/>
      <c r="E140" s="1"/>
      <c r="F140" s="1"/>
      <c r="G140" s="1"/>
      <c r="H140" s="1"/>
      <c r="I140" s="1"/>
      <c r="J140" s="1"/>
      <c r="K140" s="1"/>
      <c r="L140" s="1"/>
      <c r="M140" s="1"/>
      <c r="N140" s="1"/>
      <c r="O140" s="1"/>
      <c r="Q140" s="1"/>
      <c r="R140" s="2"/>
      <c r="S140" s="1"/>
      <c r="T140" s="1"/>
      <c r="V140" s="1"/>
      <c r="W140" s="1"/>
      <c r="AJ140" s="1"/>
    </row>
    <row r="141" ht="14.25" customHeight="1" spans="1:36" x14ac:dyDescent="0.25">
      <c r="A141" s="1"/>
      <c r="B141" s="1"/>
      <c r="C141" s="1"/>
      <c r="D141" s="1"/>
      <c r="E141" s="1"/>
      <c r="F141" s="1"/>
      <c r="G141" s="1"/>
      <c r="H141" s="1"/>
      <c r="I141" s="1"/>
      <c r="J141" s="1"/>
      <c r="K141" s="1"/>
      <c r="L141" s="1"/>
      <c r="M141" s="1"/>
      <c r="N141" s="1"/>
      <c r="O141" s="1"/>
      <c r="Q141" s="1"/>
      <c r="R141" s="2"/>
      <c r="S141" s="1"/>
      <c r="T141" s="1"/>
      <c r="V141" s="1"/>
      <c r="W141" s="1"/>
      <c r="AJ141" s="1"/>
    </row>
    <row r="142" ht="14.25" customHeight="1" spans="1:36" x14ac:dyDescent="0.25">
      <c r="A142" s="1"/>
      <c r="B142" s="1"/>
      <c r="C142" s="1"/>
      <c r="D142" s="1"/>
      <c r="E142" s="1"/>
      <c r="F142" s="1"/>
      <c r="G142" s="1"/>
      <c r="H142" s="1"/>
      <c r="I142" s="1"/>
      <c r="J142" s="1"/>
      <c r="K142" s="1"/>
      <c r="L142" s="1"/>
      <c r="M142" s="1"/>
      <c r="N142" s="1"/>
      <c r="O142" s="1"/>
      <c r="Q142" s="1"/>
      <c r="R142" s="2"/>
      <c r="S142" s="1"/>
      <c r="T142" s="1"/>
      <c r="V142" s="1"/>
      <c r="W142" s="1"/>
      <c r="AJ142" s="1"/>
    </row>
    <row r="143" ht="14.25" customHeight="1" spans="1:36" x14ac:dyDescent="0.25">
      <c r="A143" s="1"/>
      <c r="B143" s="1"/>
      <c r="C143" s="1"/>
      <c r="D143" s="1"/>
      <c r="E143" s="1"/>
      <c r="F143" s="1"/>
      <c r="G143" s="1"/>
      <c r="H143" s="1"/>
      <c r="I143" s="1"/>
      <c r="J143" s="1"/>
      <c r="K143" s="1"/>
      <c r="L143" s="1"/>
      <c r="M143" s="1"/>
      <c r="N143" s="1"/>
      <c r="O143" s="1"/>
      <c r="Q143" s="1"/>
      <c r="R143" s="2"/>
      <c r="S143" s="1"/>
      <c r="T143" s="1"/>
      <c r="V143" s="1"/>
      <c r="W143" s="1"/>
      <c r="AJ143" s="1"/>
    </row>
    <row r="144" ht="14.25" customHeight="1" spans="1:36" x14ac:dyDescent="0.25">
      <c r="A144" s="1"/>
      <c r="B144" s="1"/>
      <c r="C144" s="1"/>
      <c r="D144" s="1"/>
      <c r="E144" s="1"/>
      <c r="F144" s="1"/>
      <c r="G144" s="1"/>
      <c r="H144" s="1"/>
      <c r="I144" s="1"/>
      <c r="J144" s="1"/>
      <c r="K144" s="1"/>
      <c r="L144" s="1"/>
      <c r="M144" s="1"/>
      <c r="N144" s="1"/>
      <c r="O144" s="1"/>
      <c r="Q144" s="1"/>
      <c r="R144" s="2"/>
      <c r="S144" s="1"/>
      <c r="T144" s="1"/>
      <c r="V144" s="1"/>
      <c r="W144" s="1"/>
      <c r="AJ144" s="1"/>
    </row>
    <row r="145" ht="14.25" customHeight="1" spans="1:36" x14ac:dyDescent="0.25">
      <c r="A145" s="1"/>
      <c r="B145" s="1"/>
      <c r="C145" s="1"/>
      <c r="D145" s="1"/>
      <c r="E145" s="1"/>
      <c r="F145" s="1"/>
      <c r="G145" s="1"/>
      <c r="H145" s="1"/>
      <c r="I145" s="1"/>
      <c r="J145" s="1"/>
      <c r="K145" s="1"/>
      <c r="L145" s="1"/>
      <c r="M145" s="1"/>
      <c r="N145" s="1"/>
      <c r="O145" s="1"/>
      <c r="Q145" s="1"/>
      <c r="R145" s="2"/>
      <c r="S145" s="1"/>
      <c r="T145" s="1"/>
      <c r="V145" s="1"/>
      <c r="W145" s="1"/>
      <c r="AJ145" s="1"/>
    </row>
    <row r="146" ht="14.25" customHeight="1" spans="1:36" x14ac:dyDescent="0.25">
      <c r="A146" s="1"/>
      <c r="B146" s="1"/>
      <c r="C146" s="1"/>
      <c r="D146" s="1"/>
      <c r="E146" s="1"/>
      <c r="F146" s="1"/>
      <c r="G146" s="1"/>
      <c r="H146" s="1"/>
      <c r="I146" s="1"/>
      <c r="J146" s="1"/>
      <c r="K146" s="1"/>
      <c r="L146" s="1"/>
      <c r="M146" s="1"/>
      <c r="N146" s="1"/>
      <c r="O146" s="1"/>
      <c r="Q146" s="1"/>
      <c r="R146" s="2"/>
      <c r="S146" s="1"/>
      <c r="T146" s="1"/>
      <c r="V146" s="1"/>
      <c r="W146" s="1"/>
      <c r="AJ146" s="1"/>
    </row>
    <row r="147" ht="14.25" customHeight="1" spans="1:36" x14ac:dyDescent="0.25">
      <c r="A147" s="1"/>
      <c r="B147" s="1"/>
      <c r="C147" s="1"/>
      <c r="D147" s="1"/>
      <c r="E147" s="1"/>
      <c r="F147" s="1"/>
      <c r="G147" s="1"/>
      <c r="H147" s="1"/>
      <c r="I147" s="1"/>
      <c r="J147" s="1"/>
      <c r="K147" s="1"/>
      <c r="L147" s="1"/>
      <c r="M147" s="1"/>
      <c r="N147" s="1"/>
      <c r="O147" s="1"/>
      <c r="Q147" s="1"/>
      <c r="R147" s="2"/>
      <c r="S147" s="1"/>
      <c r="T147" s="1"/>
      <c r="V147" s="1"/>
      <c r="W147" s="1"/>
      <c r="AJ147" s="1"/>
    </row>
    <row r="148" ht="14.25" customHeight="1" spans="1:36" x14ac:dyDescent="0.25">
      <c r="A148" s="1"/>
      <c r="B148" s="1"/>
      <c r="C148" s="1"/>
      <c r="D148" s="1"/>
      <c r="E148" s="1"/>
      <c r="F148" s="1"/>
      <c r="G148" s="1"/>
      <c r="H148" s="1"/>
      <c r="I148" s="1"/>
      <c r="J148" s="1"/>
      <c r="K148" s="1"/>
      <c r="L148" s="1"/>
      <c r="M148" s="1"/>
      <c r="N148" s="1"/>
      <c r="O148" s="1"/>
      <c r="Q148" s="1"/>
      <c r="R148" s="2"/>
      <c r="S148" s="1"/>
      <c r="T148" s="1"/>
      <c r="V148" s="1"/>
      <c r="W148" s="1"/>
      <c r="AJ148" s="1"/>
    </row>
    <row r="149" ht="14.25" customHeight="1" spans="1:36" x14ac:dyDescent="0.25">
      <c r="A149" s="1"/>
      <c r="B149" s="1"/>
      <c r="C149" s="1"/>
      <c r="D149" s="1"/>
      <c r="E149" s="1"/>
      <c r="F149" s="1"/>
      <c r="G149" s="1"/>
      <c r="H149" s="1"/>
      <c r="I149" s="1"/>
      <c r="J149" s="1"/>
      <c r="K149" s="1"/>
      <c r="L149" s="1"/>
      <c r="M149" s="1"/>
      <c r="N149" s="1"/>
      <c r="O149" s="1"/>
      <c r="Q149" s="1"/>
      <c r="R149" s="2"/>
      <c r="S149" s="1"/>
      <c r="T149" s="1"/>
      <c r="V149" s="1"/>
      <c r="W149" s="1"/>
      <c r="AJ149" s="1"/>
    </row>
    <row r="150" ht="14.25" customHeight="1" spans="1:36" x14ac:dyDescent="0.25">
      <c r="A150" s="1"/>
      <c r="B150" s="1"/>
      <c r="C150" s="1"/>
      <c r="D150" s="1"/>
      <c r="E150" s="1"/>
      <c r="F150" s="1"/>
      <c r="G150" s="1"/>
      <c r="H150" s="1"/>
      <c r="I150" s="1"/>
      <c r="J150" s="1"/>
      <c r="K150" s="1"/>
      <c r="L150" s="1"/>
      <c r="M150" s="1"/>
      <c r="N150" s="1"/>
      <c r="O150" s="1"/>
      <c r="Q150" s="1"/>
      <c r="R150" s="2"/>
      <c r="S150" s="1"/>
      <c r="T150" s="1"/>
      <c r="V150" s="1"/>
      <c r="W150" s="1"/>
      <c r="AJ150" s="1"/>
    </row>
    <row r="151" ht="14.25" customHeight="1" spans="1:36" x14ac:dyDescent="0.25">
      <c r="A151" s="1"/>
      <c r="B151" s="1"/>
      <c r="C151" s="1"/>
      <c r="D151" s="1"/>
      <c r="E151" s="1"/>
      <c r="F151" s="1"/>
      <c r="G151" s="1"/>
      <c r="H151" s="1"/>
      <c r="I151" s="1"/>
      <c r="J151" s="1"/>
      <c r="K151" s="1"/>
      <c r="L151" s="1"/>
      <c r="M151" s="1"/>
      <c r="N151" s="1"/>
      <c r="O151" s="1"/>
      <c r="Q151" s="1"/>
      <c r="R151" s="2"/>
      <c r="S151" s="1"/>
      <c r="T151" s="1"/>
      <c r="V151" s="1"/>
      <c r="W151" s="1"/>
      <c r="AJ151" s="1"/>
    </row>
    <row r="152" ht="14.25" customHeight="1" spans="1:36" x14ac:dyDescent="0.25">
      <c r="A152" s="1"/>
      <c r="B152" s="1"/>
      <c r="C152" s="1"/>
      <c r="D152" s="1"/>
      <c r="E152" s="1"/>
      <c r="F152" s="1"/>
      <c r="G152" s="1"/>
      <c r="H152" s="1"/>
      <c r="I152" s="1"/>
      <c r="J152" s="1"/>
      <c r="K152" s="1"/>
      <c r="L152" s="1"/>
      <c r="M152" s="1"/>
      <c r="N152" s="1"/>
      <c r="O152" s="1"/>
      <c r="Q152" s="1"/>
      <c r="R152" s="2"/>
      <c r="S152" s="1"/>
      <c r="T152" s="1"/>
      <c r="V152" s="1"/>
      <c r="W152" s="1"/>
      <c r="AJ152" s="1"/>
    </row>
    <row r="153" ht="14.25" customHeight="1" spans="1:36" x14ac:dyDescent="0.25">
      <c r="A153" s="1"/>
      <c r="B153" s="1"/>
      <c r="C153" s="1"/>
      <c r="D153" s="1"/>
      <c r="E153" s="1"/>
      <c r="F153" s="1"/>
      <c r="G153" s="1"/>
      <c r="H153" s="1"/>
      <c r="I153" s="1"/>
      <c r="J153" s="1"/>
      <c r="K153" s="1"/>
      <c r="L153" s="1"/>
      <c r="M153" s="1"/>
      <c r="N153" s="1"/>
      <c r="O153" s="1"/>
      <c r="Q153" s="1"/>
      <c r="R153" s="2"/>
      <c r="S153" s="1"/>
      <c r="T153" s="1"/>
      <c r="V153" s="1"/>
      <c r="W153" s="1"/>
      <c r="AJ153" s="1"/>
    </row>
    <row r="154" ht="14.25" customHeight="1" spans="1:36" x14ac:dyDescent="0.25">
      <c r="A154" s="1"/>
      <c r="B154" s="1"/>
      <c r="C154" s="1"/>
      <c r="D154" s="1"/>
      <c r="E154" s="1"/>
      <c r="F154" s="1"/>
      <c r="G154" s="1"/>
      <c r="H154" s="1"/>
      <c r="I154" s="1"/>
      <c r="J154" s="1"/>
      <c r="K154" s="1"/>
      <c r="L154" s="1"/>
      <c r="M154" s="1"/>
      <c r="N154" s="1"/>
      <c r="O154" s="1"/>
      <c r="Q154" s="1"/>
      <c r="R154" s="2"/>
      <c r="S154" s="1"/>
      <c r="T154" s="1"/>
      <c r="V154" s="1"/>
      <c r="W154" s="1"/>
      <c r="AJ154" s="1"/>
    </row>
    <row r="155" ht="14.25" customHeight="1" spans="1:36" x14ac:dyDescent="0.25">
      <c r="A155" s="1"/>
      <c r="B155" s="1"/>
      <c r="C155" s="1"/>
      <c r="D155" s="1"/>
      <c r="E155" s="1"/>
      <c r="F155" s="1"/>
      <c r="G155" s="1"/>
      <c r="H155" s="1"/>
      <c r="I155" s="1"/>
      <c r="J155" s="1"/>
      <c r="K155" s="1"/>
      <c r="L155" s="1"/>
      <c r="M155" s="1"/>
      <c r="N155" s="1"/>
      <c r="O155" s="1"/>
      <c r="Q155" s="1"/>
      <c r="R155" s="2"/>
      <c r="S155" s="1"/>
      <c r="T155" s="1"/>
      <c r="V155" s="1"/>
      <c r="W155" s="1"/>
      <c r="AJ155" s="1"/>
    </row>
    <row r="156" ht="14.25" customHeight="1" spans="1:36" x14ac:dyDescent="0.25">
      <c r="A156" s="1"/>
      <c r="B156" s="1"/>
      <c r="C156" s="1"/>
      <c r="D156" s="1"/>
      <c r="E156" s="1"/>
      <c r="F156" s="1"/>
      <c r="G156" s="1"/>
      <c r="H156" s="1"/>
      <c r="I156" s="1"/>
      <c r="J156" s="1"/>
      <c r="K156" s="1"/>
      <c r="L156" s="1"/>
      <c r="M156" s="1"/>
      <c r="N156" s="1"/>
      <c r="O156" s="1"/>
      <c r="Q156" s="1"/>
      <c r="R156" s="2"/>
      <c r="S156" s="1"/>
      <c r="T156" s="1"/>
      <c r="V156" s="1"/>
      <c r="W156" s="1"/>
      <c r="AJ156" s="1"/>
    </row>
    <row r="157" ht="14.25" customHeight="1" spans="1:36" x14ac:dyDescent="0.25">
      <c r="A157" s="1"/>
      <c r="B157" s="1"/>
      <c r="C157" s="1"/>
      <c r="D157" s="1"/>
      <c r="E157" s="1"/>
      <c r="F157" s="1"/>
      <c r="G157" s="1"/>
      <c r="H157" s="1"/>
      <c r="I157" s="1"/>
      <c r="J157" s="1"/>
      <c r="K157" s="1"/>
      <c r="L157" s="1"/>
      <c r="M157" s="1"/>
      <c r="N157" s="1"/>
      <c r="O157" s="1"/>
      <c r="Q157" s="1"/>
      <c r="R157" s="2"/>
      <c r="S157" s="1"/>
      <c r="T157" s="1"/>
      <c r="V157" s="1"/>
      <c r="W157" s="1"/>
      <c r="AJ157" s="1"/>
    </row>
    <row r="158" ht="14.25" customHeight="1" spans="1:36" x14ac:dyDescent="0.25">
      <c r="A158" s="1"/>
      <c r="B158" s="1"/>
      <c r="C158" s="1"/>
      <c r="D158" s="1"/>
      <c r="E158" s="1"/>
      <c r="F158" s="1"/>
      <c r="G158" s="1"/>
      <c r="H158" s="1"/>
      <c r="I158" s="1"/>
      <c r="J158" s="1"/>
      <c r="K158" s="1"/>
      <c r="L158" s="1"/>
      <c r="M158" s="1"/>
      <c r="N158" s="1"/>
      <c r="O158" s="1"/>
      <c r="Q158" s="1"/>
      <c r="R158" s="2"/>
      <c r="S158" s="1"/>
      <c r="T158" s="1"/>
      <c r="V158" s="1"/>
      <c r="W158" s="1"/>
      <c r="AJ158" s="1"/>
    </row>
    <row r="159" ht="14.25" customHeight="1" spans="1:36" x14ac:dyDescent="0.25">
      <c r="A159" s="1"/>
      <c r="B159" s="1"/>
      <c r="C159" s="1"/>
      <c r="D159" s="1"/>
      <c r="E159" s="1"/>
      <c r="F159" s="1"/>
      <c r="G159" s="1"/>
      <c r="H159" s="1"/>
      <c r="I159" s="1"/>
      <c r="J159" s="1"/>
      <c r="K159" s="1"/>
      <c r="L159" s="1"/>
      <c r="M159" s="1"/>
      <c r="N159" s="1"/>
      <c r="O159" s="1"/>
      <c r="Q159" s="1"/>
      <c r="R159" s="2"/>
      <c r="S159" s="1"/>
      <c r="T159" s="1"/>
      <c r="V159" s="1"/>
      <c r="W159" s="1"/>
      <c r="AJ159" s="1"/>
    </row>
    <row r="160" ht="14.25" customHeight="1" spans="1:36" x14ac:dyDescent="0.25">
      <c r="A160" s="1"/>
      <c r="B160" s="1"/>
      <c r="C160" s="1"/>
      <c r="D160" s="1"/>
      <c r="E160" s="1"/>
      <c r="F160" s="1"/>
      <c r="G160" s="1"/>
      <c r="H160" s="1"/>
      <c r="I160" s="1"/>
      <c r="J160" s="1"/>
      <c r="K160" s="1"/>
      <c r="L160" s="1"/>
      <c r="M160" s="1"/>
      <c r="N160" s="1"/>
      <c r="O160" s="1"/>
      <c r="Q160" s="1"/>
      <c r="R160" s="2"/>
      <c r="S160" s="1"/>
      <c r="T160" s="1"/>
      <c r="V160" s="1"/>
      <c r="W160" s="1"/>
      <c r="AJ160" s="1"/>
    </row>
    <row r="161" ht="14.25" customHeight="1" spans="1:36" x14ac:dyDescent="0.25">
      <c r="A161" s="1"/>
      <c r="B161" s="1"/>
      <c r="C161" s="1"/>
      <c r="D161" s="1"/>
      <c r="E161" s="1"/>
      <c r="F161" s="1"/>
      <c r="G161" s="1"/>
      <c r="H161" s="1"/>
      <c r="I161" s="1"/>
      <c r="J161" s="1"/>
      <c r="K161" s="1"/>
      <c r="L161" s="1"/>
      <c r="M161" s="1"/>
      <c r="N161" s="1"/>
      <c r="O161" s="1"/>
      <c r="Q161" s="1"/>
      <c r="R161" s="2"/>
      <c r="S161" s="1"/>
      <c r="T161" s="1"/>
      <c r="V161" s="1"/>
      <c r="W161" s="1"/>
      <c r="AJ161" s="1"/>
    </row>
    <row r="162" ht="14.25" customHeight="1" spans="1:36" x14ac:dyDescent="0.25">
      <c r="A162" s="1"/>
      <c r="B162" s="1"/>
      <c r="C162" s="1"/>
      <c r="D162" s="1"/>
      <c r="E162" s="1"/>
      <c r="F162" s="1"/>
      <c r="G162" s="1"/>
      <c r="H162" s="1"/>
      <c r="I162" s="1"/>
      <c r="J162" s="1"/>
      <c r="K162" s="1"/>
      <c r="L162" s="1"/>
      <c r="M162" s="1"/>
      <c r="N162" s="1"/>
      <c r="O162" s="1"/>
      <c r="Q162" s="1"/>
      <c r="R162" s="2"/>
      <c r="S162" s="1"/>
      <c r="T162" s="1"/>
      <c r="V162" s="1"/>
      <c r="W162" s="1"/>
      <c r="AJ162" s="1"/>
    </row>
    <row r="163" ht="14.25" customHeight="1" spans="1:36" x14ac:dyDescent="0.25">
      <c r="A163" s="1"/>
      <c r="B163" s="1"/>
      <c r="C163" s="1"/>
      <c r="D163" s="1"/>
      <c r="E163" s="1"/>
      <c r="F163" s="1"/>
      <c r="G163" s="1"/>
      <c r="H163" s="1"/>
      <c r="I163" s="1"/>
      <c r="J163" s="1"/>
      <c r="K163" s="1"/>
      <c r="L163" s="1"/>
      <c r="M163" s="1"/>
      <c r="N163" s="1"/>
      <c r="O163" s="1"/>
      <c r="Q163" s="1"/>
      <c r="R163" s="2"/>
      <c r="S163" s="1"/>
      <c r="T163" s="1"/>
      <c r="V163" s="1"/>
      <c r="W163" s="1"/>
      <c r="AJ163" s="1"/>
    </row>
    <row r="164" ht="14.25" customHeight="1" spans="1:36" x14ac:dyDescent="0.25">
      <c r="A164" s="1"/>
      <c r="B164" s="1"/>
      <c r="C164" s="1"/>
      <c r="D164" s="1"/>
      <c r="E164" s="1"/>
      <c r="F164" s="1"/>
      <c r="G164" s="1"/>
      <c r="H164" s="1"/>
      <c r="I164" s="1"/>
      <c r="J164" s="1"/>
      <c r="K164" s="1"/>
      <c r="L164" s="1"/>
      <c r="M164" s="1"/>
      <c r="N164" s="1"/>
      <c r="O164" s="1"/>
      <c r="Q164" s="1"/>
      <c r="R164" s="2"/>
      <c r="S164" s="1"/>
      <c r="T164" s="1"/>
      <c r="V164" s="1"/>
      <c r="W164" s="1"/>
      <c r="AJ164" s="1"/>
    </row>
    <row r="165" ht="14.25" customHeight="1" spans="1:36" x14ac:dyDescent="0.25">
      <c r="A165" s="1"/>
      <c r="B165" s="1"/>
      <c r="C165" s="1"/>
      <c r="D165" s="1"/>
      <c r="E165" s="1"/>
      <c r="F165" s="1"/>
      <c r="G165" s="1"/>
      <c r="H165" s="1"/>
      <c r="I165" s="1"/>
      <c r="J165" s="1"/>
      <c r="K165" s="1"/>
      <c r="L165" s="1"/>
      <c r="M165" s="1"/>
      <c r="N165" s="1"/>
      <c r="O165" s="1"/>
      <c r="Q165" s="1"/>
      <c r="R165" s="2"/>
      <c r="S165" s="1"/>
      <c r="T165" s="1"/>
      <c r="V165" s="1"/>
      <c r="W165" s="1"/>
      <c r="AJ165" s="1"/>
    </row>
    <row r="166" ht="14.25" customHeight="1" spans="1:36" x14ac:dyDescent="0.25">
      <c r="A166" s="1"/>
      <c r="B166" s="1"/>
      <c r="C166" s="1"/>
      <c r="D166" s="1"/>
      <c r="E166" s="1"/>
      <c r="F166" s="1"/>
      <c r="G166" s="1"/>
      <c r="H166" s="1"/>
      <c r="I166" s="1"/>
      <c r="J166" s="1"/>
      <c r="K166" s="1"/>
      <c r="L166" s="1"/>
      <c r="M166" s="1"/>
      <c r="N166" s="1"/>
      <c r="O166" s="1"/>
      <c r="Q166" s="1"/>
      <c r="R166" s="2"/>
      <c r="S166" s="1"/>
      <c r="T166" s="1"/>
      <c r="V166" s="1"/>
      <c r="W166" s="1"/>
      <c r="AJ166" s="1"/>
    </row>
    <row r="167" ht="14.25" customHeight="1" spans="1:36" x14ac:dyDescent="0.25">
      <c r="A167" s="1"/>
      <c r="B167" s="1"/>
      <c r="C167" s="1"/>
      <c r="D167" s="1"/>
      <c r="E167" s="1"/>
      <c r="F167" s="1"/>
      <c r="G167" s="1"/>
      <c r="H167" s="1"/>
      <c r="I167" s="1"/>
      <c r="J167" s="1"/>
      <c r="K167" s="1"/>
      <c r="L167" s="1"/>
      <c r="M167" s="1"/>
      <c r="N167" s="1"/>
      <c r="O167" s="1"/>
      <c r="Q167" s="1"/>
      <c r="R167" s="2"/>
      <c r="S167" s="1"/>
      <c r="T167" s="1"/>
      <c r="V167" s="1"/>
      <c r="W167" s="1"/>
      <c r="AJ167" s="1"/>
    </row>
    <row r="168" ht="14.25" customHeight="1" spans="1:36" x14ac:dyDescent="0.25">
      <c r="A168" s="1"/>
      <c r="B168" s="1"/>
      <c r="C168" s="1"/>
      <c r="D168" s="1"/>
      <c r="E168" s="1"/>
      <c r="F168" s="1"/>
      <c r="G168" s="1"/>
      <c r="H168" s="1"/>
      <c r="I168" s="1"/>
      <c r="J168" s="1"/>
      <c r="K168" s="1"/>
      <c r="L168" s="1"/>
      <c r="M168" s="1"/>
      <c r="N168" s="1"/>
      <c r="O168" s="1"/>
      <c r="Q168" s="1"/>
      <c r="R168" s="2"/>
      <c r="S168" s="1"/>
      <c r="T168" s="1"/>
      <c r="V168" s="1"/>
      <c r="W168" s="1"/>
      <c r="AJ168" s="1"/>
    </row>
    <row r="169" ht="14.25" customHeight="1" spans="1:36" x14ac:dyDescent="0.25">
      <c r="A169" s="1"/>
      <c r="B169" s="1"/>
      <c r="C169" s="1"/>
      <c r="D169" s="1"/>
      <c r="E169" s="1"/>
      <c r="F169" s="1"/>
      <c r="G169" s="1"/>
      <c r="H169" s="1"/>
      <c r="I169" s="1"/>
      <c r="J169" s="1"/>
      <c r="K169" s="1"/>
      <c r="L169" s="1"/>
      <c r="M169" s="1"/>
      <c r="N169" s="1"/>
      <c r="O169" s="1"/>
      <c r="Q169" s="1"/>
      <c r="R169" s="2"/>
      <c r="S169" s="1"/>
      <c r="T169" s="1"/>
      <c r="V169" s="1"/>
      <c r="W169" s="1"/>
      <c r="AJ169" s="1"/>
    </row>
    <row r="170" ht="14.25" customHeight="1" spans="1:36" x14ac:dyDescent="0.25">
      <c r="A170" s="1"/>
      <c r="B170" s="1"/>
      <c r="C170" s="1"/>
      <c r="D170" s="1"/>
      <c r="E170" s="1"/>
      <c r="F170" s="1"/>
      <c r="G170" s="1"/>
      <c r="H170" s="1"/>
      <c r="I170" s="1"/>
      <c r="J170" s="1"/>
      <c r="K170" s="1"/>
      <c r="L170" s="1"/>
      <c r="M170" s="1"/>
      <c r="N170" s="1"/>
      <c r="O170" s="1"/>
      <c r="Q170" s="1"/>
      <c r="R170" s="2"/>
      <c r="S170" s="1"/>
      <c r="T170" s="1"/>
      <c r="V170" s="1"/>
      <c r="W170" s="1"/>
      <c r="AJ170" s="1"/>
    </row>
    <row r="171" ht="14.25" customHeight="1" spans="1:36" x14ac:dyDescent="0.25">
      <c r="A171" s="1"/>
      <c r="B171" s="1"/>
      <c r="C171" s="1"/>
      <c r="D171" s="1"/>
      <c r="E171" s="1"/>
      <c r="F171" s="1"/>
      <c r="G171" s="1"/>
      <c r="H171" s="1"/>
      <c r="I171" s="1"/>
      <c r="J171" s="1"/>
      <c r="K171" s="1"/>
      <c r="L171" s="1"/>
      <c r="M171" s="1"/>
      <c r="N171" s="1"/>
      <c r="O171" s="1"/>
      <c r="Q171" s="1"/>
      <c r="R171" s="2"/>
      <c r="S171" s="1"/>
      <c r="T171" s="1"/>
      <c r="V171" s="1"/>
      <c r="W171" s="1"/>
      <c r="AJ171" s="1"/>
    </row>
    <row r="172" ht="14.25" customHeight="1" spans="1:36" x14ac:dyDescent="0.25">
      <c r="A172" s="1"/>
      <c r="B172" s="1"/>
      <c r="C172" s="1"/>
      <c r="D172" s="1"/>
      <c r="E172" s="1"/>
      <c r="F172" s="1"/>
      <c r="G172" s="1"/>
      <c r="H172" s="1"/>
      <c r="I172" s="1"/>
      <c r="J172" s="1"/>
      <c r="K172" s="1"/>
      <c r="L172" s="1"/>
      <c r="M172" s="1"/>
      <c r="N172" s="1"/>
      <c r="O172" s="1"/>
      <c r="Q172" s="1"/>
      <c r="R172" s="2"/>
      <c r="S172" s="1"/>
      <c r="T172" s="1"/>
      <c r="V172" s="1"/>
      <c r="W172" s="1"/>
      <c r="AJ172" s="1"/>
    </row>
    <row r="173" ht="14.25" customHeight="1" spans="1:36" x14ac:dyDescent="0.25">
      <c r="A173" s="1"/>
      <c r="B173" s="1"/>
      <c r="C173" s="1"/>
      <c r="D173" s="1"/>
      <c r="E173" s="1"/>
      <c r="F173" s="1"/>
      <c r="G173" s="1"/>
      <c r="H173" s="1"/>
      <c r="I173" s="1"/>
      <c r="J173" s="1"/>
      <c r="K173" s="1"/>
      <c r="L173" s="1"/>
      <c r="M173" s="1"/>
      <c r="N173" s="1"/>
      <c r="O173" s="1"/>
      <c r="Q173" s="1"/>
      <c r="R173" s="2"/>
      <c r="S173" s="1"/>
      <c r="T173" s="1"/>
      <c r="V173" s="1"/>
      <c r="W173" s="1"/>
      <c r="AJ173" s="1"/>
    </row>
    <row r="174" ht="14.25" customHeight="1" spans="1:36" x14ac:dyDescent="0.25">
      <c r="A174" s="1"/>
      <c r="B174" s="1"/>
      <c r="C174" s="1"/>
      <c r="D174" s="1"/>
      <c r="E174" s="1"/>
      <c r="F174" s="1"/>
      <c r="G174" s="1"/>
      <c r="H174" s="1"/>
      <c r="I174" s="1"/>
      <c r="J174" s="1"/>
      <c r="K174" s="1"/>
      <c r="L174" s="1"/>
      <c r="M174" s="1"/>
      <c r="N174" s="1"/>
      <c r="O174" s="1"/>
      <c r="Q174" s="1"/>
      <c r="R174" s="2"/>
      <c r="S174" s="1"/>
      <c r="T174" s="1"/>
      <c r="V174" s="1"/>
      <c r="W174" s="1"/>
      <c r="AJ174" s="1"/>
    </row>
    <row r="175" ht="14.25" customHeight="1" spans="1:36" x14ac:dyDescent="0.25">
      <c r="A175" s="1"/>
      <c r="B175" s="1"/>
      <c r="C175" s="1"/>
      <c r="D175" s="1"/>
      <c r="E175" s="1"/>
      <c r="F175" s="1"/>
      <c r="G175" s="1"/>
      <c r="H175" s="1"/>
      <c r="I175" s="1"/>
      <c r="J175" s="1"/>
      <c r="K175" s="1"/>
      <c r="L175" s="1"/>
      <c r="M175" s="1"/>
      <c r="N175" s="1"/>
      <c r="O175" s="1"/>
      <c r="Q175" s="1"/>
      <c r="R175" s="2"/>
      <c r="S175" s="1"/>
      <c r="T175" s="1"/>
      <c r="V175" s="1"/>
      <c r="W175" s="1"/>
      <c r="AJ175" s="1"/>
    </row>
    <row r="176" ht="14.25" customHeight="1" spans="1:36" x14ac:dyDescent="0.25">
      <c r="A176" s="1"/>
      <c r="B176" s="1"/>
      <c r="C176" s="1"/>
      <c r="D176" s="1"/>
      <c r="E176" s="1"/>
      <c r="F176" s="1"/>
      <c r="G176" s="1"/>
      <c r="H176" s="1"/>
      <c r="I176" s="1"/>
      <c r="J176" s="1"/>
      <c r="K176" s="1"/>
      <c r="L176" s="1"/>
      <c r="M176" s="1"/>
      <c r="N176" s="1"/>
      <c r="O176" s="1"/>
      <c r="Q176" s="1"/>
      <c r="R176" s="2"/>
      <c r="S176" s="1"/>
      <c r="T176" s="1"/>
      <c r="V176" s="1"/>
      <c r="W176" s="1"/>
      <c r="AJ176" s="1"/>
    </row>
    <row r="177" ht="14.25" customHeight="1" spans="1:36" x14ac:dyDescent="0.25">
      <c r="A177" s="1"/>
      <c r="B177" s="1"/>
      <c r="C177" s="1"/>
      <c r="D177" s="1"/>
      <c r="E177" s="1"/>
      <c r="F177" s="1"/>
      <c r="G177" s="1"/>
      <c r="H177" s="1"/>
      <c r="I177" s="1"/>
      <c r="J177" s="1"/>
      <c r="K177" s="1"/>
      <c r="L177" s="1"/>
      <c r="M177" s="1"/>
      <c r="N177" s="1"/>
      <c r="O177" s="1"/>
      <c r="Q177" s="1"/>
      <c r="R177" s="2"/>
      <c r="S177" s="1"/>
      <c r="T177" s="1"/>
      <c r="V177" s="1"/>
      <c r="W177" s="1"/>
      <c r="AJ177" s="1"/>
    </row>
    <row r="178" ht="14.25" customHeight="1" spans="1:36" x14ac:dyDescent="0.25">
      <c r="A178" s="1"/>
      <c r="B178" s="1"/>
      <c r="C178" s="1"/>
      <c r="D178" s="1"/>
      <c r="E178" s="1"/>
      <c r="F178" s="1"/>
      <c r="G178" s="1"/>
      <c r="H178" s="1"/>
      <c r="I178" s="1"/>
      <c r="J178" s="1"/>
      <c r="K178" s="1"/>
      <c r="L178" s="1"/>
      <c r="M178" s="1"/>
      <c r="N178" s="1"/>
      <c r="O178" s="1"/>
      <c r="Q178" s="1"/>
      <c r="R178" s="2"/>
      <c r="S178" s="1"/>
      <c r="T178" s="1"/>
      <c r="V178" s="1"/>
      <c r="W178" s="1"/>
      <c r="AJ178" s="1"/>
    </row>
    <row r="179" ht="14.25" customHeight="1" spans="1:36" x14ac:dyDescent="0.25">
      <c r="A179" s="1"/>
      <c r="B179" s="1"/>
      <c r="C179" s="1"/>
      <c r="D179" s="1"/>
      <c r="E179" s="1"/>
      <c r="F179" s="1"/>
      <c r="G179" s="1"/>
      <c r="H179" s="1"/>
      <c r="I179" s="1"/>
      <c r="J179" s="1"/>
      <c r="K179" s="1"/>
      <c r="L179" s="1"/>
      <c r="M179" s="1"/>
      <c r="N179" s="1"/>
      <c r="O179" s="1"/>
      <c r="Q179" s="1"/>
      <c r="R179" s="2"/>
      <c r="S179" s="1"/>
      <c r="T179" s="1"/>
      <c r="V179" s="1"/>
      <c r="W179" s="1"/>
      <c r="AJ179" s="1"/>
    </row>
    <row r="180" ht="14.25" customHeight="1" spans="1:36" x14ac:dyDescent="0.25">
      <c r="A180" s="1"/>
      <c r="B180" s="1"/>
      <c r="C180" s="1"/>
      <c r="D180" s="1"/>
      <c r="E180" s="1"/>
      <c r="F180" s="1"/>
      <c r="G180" s="1"/>
      <c r="H180" s="1"/>
      <c r="I180" s="1"/>
      <c r="J180" s="1"/>
      <c r="K180" s="1"/>
      <c r="L180" s="1"/>
      <c r="M180" s="1"/>
      <c r="N180" s="1"/>
      <c r="O180" s="1"/>
      <c r="Q180" s="1"/>
      <c r="R180" s="2"/>
      <c r="S180" s="1"/>
      <c r="T180" s="1"/>
      <c r="V180" s="1"/>
      <c r="W180" s="1"/>
      <c r="AJ180" s="1"/>
    </row>
    <row r="181" ht="14.25" customHeight="1" spans="1:36" x14ac:dyDescent="0.25">
      <c r="A181" s="1"/>
      <c r="B181" s="1"/>
      <c r="C181" s="1"/>
      <c r="D181" s="1"/>
      <c r="E181" s="1"/>
      <c r="F181" s="1"/>
      <c r="G181" s="1"/>
      <c r="H181" s="1"/>
      <c r="I181" s="1"/>
      <c r="J181" s="1"/>
      <c r="K181" s="1"/>
      <c r="L181" s="1"/>
      <c r="M181" s="1"/>
      <c r="N181" s="1"/>
      <c r="O181" s="1"/>
      <c r="Q181" s="1"/>
      <c r="R181" s="2"/>
      <c r="S181" s="1"/>
      <c r="T181" s="1"/>
      <c r="V181" s="1"/>
      <c r="W181" s="1"/>
      <c r="AJ181" s="1"/>
    </row>
    <row r="182" ht="14.25" customHeight="1" spans="1:36" x14ac:dyDescent="0.25">
      <c r="A182" s="1"/>
      <c r="B182" s="1"/>
      <c r="C182" s="1"/>
      <c r="D182" s="1"/>
      <c r="E182" s="1"/>
      <c r="F182" s="1"/>
      <c r="G182" s="1"/>
      <c r="H182" s="1"/>
      <c r="I182" s="1"/>
      <c r="J182" s="1"/>
      <c r="K182" s="1"/>
      <c r="L182" s="1"/>
      <c r="M182" s="1"/>
      <c r="N182" s="1"/>
      <c r="O182" s="1"/>
      <c r="Q182" s="1"/>
      <c r="R182" s="2"/>
      <c r="S182" s="1"/>
      <c r="T182" s="1"/>
      <c r="V182" s="1"/>
      <c r="W182" s="1"/>
      <c r="AJ182" s="1"/>
    </row>
    <row r="183" ht="14.25" customHeight="1" spans="1:36" x14ac:dyDescent="0.25">
      <c r="A183" s="1"/>
      <c r="B183" s="1"/>
      <c r="C183" s="1"/>
      <c r="D183" s="1"/>
      <c r="E183" s="1"/>
      <c r="F183" s="1"/>
      <c r="G183" s="1"/>
      <c r="H183" s="1"/>
      <c r="I183" s="1"/>
      <c r="J183" s="1"/>
      <c r="K183" s="1"/>
      <c r="L183" s="1"/>
      <c r="M183" s="1"/>
      <c r="N183" s="1"/>
      <c r="O183" s="1"/>
      <c r="Q183" s="1"/>
      <c r="R183" s="2"/>
      <c r="S183" s="1"/>
      <c r="T183" s="1"/>
      <c r="V183" s="1"/>
      <c r="W183" s="1"/>
      <c r="AJ183" s="1"/>
    </row>
    <row r="184" ht="14.25" customHeight="1" spans="1:36" x14ac:dyDescent="0.25">
      <c r="A184" s="1"/>
      <c r="B184" s="1"/>
      <c r="C184" s="1"/>
      <c r="D184" s="1"/>
      <c r="E184" s="1"/>
      <c r="F184" s="1"/>
      <c r="G184" s="1"/>
      <c r="H184" s="1"/>
      <c r="I184" s="1"/>
      <c r="J184" s="1"/>
      <c r="K184" s="1"/>
      <c r="L184" s="1"/>
      <c r="M184" s="1"/>
      <c r="N184" s="1"/>
      <c r="O184" s="1"/>
      <c r="Q184" s="1"/>
      <c r="R184" s="2"/>
      <c r="S184" s="1"/>
      <c r="T184" s="1"/>
      <c r="V184" s="1"/>
      <c r="W184" s="1"/>
      <c r="AJ184" s="1"/>
    </row>
    <row r="185" ht="14.25" customHeight="1" spans="1:36" x14ac:dyDescent="0.25">
      <c r="A185" s="1"/>
      <c r="B185" s="1"/>
      <c r="C185" s="1"/>
      <c r="D185" s="1"/>
      <c r="E185" s="1"/>
      <c r="F185" s="1"/>
      <c r="G185" s="1"/>
      <c r="H185" s="1"/>
      <c r="I185" s="1"/>
      <c r="J185" s="1"/>
      <c r="K185" s="1"/>
      <c r="L185" s="1"/>
      <c r="M185" s="1"/>
      <c r="N185" s="1"/>
      <c r="O185" s="1"/>
      <c r="Q185" s="1"/>
      <c r="R185" s="2"/>
      <c r="S185" s="1"/>
      <c r="T185" s="1"/>
      <c r="V185" s="1"/>
      <c r="W185" s="1"/>
      <c r="AJ185" s="1"/>
    </row>
    <row r="186" ht="14.25" customHeight="1" spans="1:36" x14ac:dyDescent="0.25">
      <c r="A186" s="1"/>
      <c r="B186" s="1"/>
      <c r="C186" s="1"/>
      <c r="D186" s="1"/>
      <c r="E186" s="1"/>
      <c r="F186" s="1"/>
      <c r="G186" s="1"/>
      <c r="H186" s="1"/>
      <c r="I186" s="1"/>
      <c r="J186" s="1"/>
      <c r="K186" s="1"/>
      <c r="L186" s="1"/>
      <c r="M186" s="1"/>
      <c r="N186" s="1"/>
      <c r="O186" s="1"/>
      <c r="Q186" s="1"/>
      <c r="R186" s="2"/>
      <c r="S186" s="1"/>
      <c r="T186" s="1"/>
      <c r="V186" s="1"/>
      <c r="W186" s="1"/>
      <c r="AJ186" s="1"/>
    </row>
    <row r="187" ht="14.25" customHeight="1" spans="1:36" x14ac:dyDescent="0.25">
      <c r="A187" s="1"/>
      <c r="B187" s="1"/>
      <c r="C187" s="1"/>
      <c r="D187" s="1"/>
      <c r="E187" s="1"/>
      <c r="F187" s="1"/>
      <c r="G187" s="1"/>
      <c r="H187" s="1"/>
      <c r="I187" s="1"/>
      <c r="J187" s="1"/>
      <c r="K187" s="1"/>
      <c r="L187" s="1"/>
      <c r="M187" s="1"/>
      <c r="N187" s="1"/>
      <c r="O187" s="1"/>
      <c r="Q187" s="1"/>
      <c r="R187" s="2"/>
      <c r="S187" s="1"/>
      <c r="T187" s="1"/>
      <c r="V187" s="1"/>
      <c r="W187" s="1"/>
      <c r="AJ187" s="1"/>
    </row>
    <row r="188" ht="14.25" customHeight="1" spans="1:36" x14ac:dyDescent="0.25">
      <c r="A188" s="1"/>
      <c r="B188" s="1"/>
      <c r="C188" s="1"/>
      <c r="D188" s="1"/>
      <c r="E188" s="1"/>
      <c r="F188" s="1"/>
      <c r="G188" s="1"/>
      <c r="H188" s="1"/>
      <c r="I188" s="1"/>
      <c r="J188" s="1"/>
      <c r="K188" s="1"/>
      <c r="L188" s="1"/>
      <c r="M188" s="1"/>
      <c r="N188" s="1"/>
      <c r="O188" s="1"/>
      <c r="Q188" s="1"/>
      <c r="R188" s="2"/>
      <c r="S188" s="1"/>
      <c r="T188" s="1"/>
      <c r="V188" s="1"/>
      <c r="W188" s="1"/>
      <c r="AJ188" s="1"/>
    </row>
    <row r="189" ht="14.25" customHeight="1" spans="1:36" x14ac:dyDescent="0.25">
      <c r="A189" s="1"/>
      <c r="B189" s="1"/>
      <c r="C189" s="1"/>
      <c r="D189" s="1"/>
      <c r="E189" s="1"/>
      <c r="F189" s="1"/>
      <c r="G189" s="1"/>
      <c r="H189" s="1"/>
      <c r="I189" s="1"/>
      <c r="J189" s="1"/>
      <c r="K189" s="1"/>
      <c r="L189" s="1"/>
      <c r="M189" s="1"/>
      <c r="N189" s="1"/>
      <c r="O189" s="1"/>
      <c r="Q189" s="1"/>
      <c r="R189" s="2"/>
      <c r="S189" s="1"/>
      <c r="T189" s="1"/>
      <c r="V189" s="1"/>
      <c r="W189" s="1"/>
      <c r="AJ189" s="1"/>
    </row>
    <row r="190" ht="14.25" customHeight="1" spans="1:36" x14ac:dyDescent="0.25">
      <c r="A190" s="1"/>
      <c r="B190" s="1"/>
      <c r="C190" s="1"/>
      <c r="D190" s="1"/>
      <c r="E190" s="1"/>
      <c r="F190" s="1"/>
      <c r="G190" s="1"/>
      <c r="H190" s="1"/>
      <c r="I190" s="1"/>
      <c r="J190" s="1"/>
      <c r="K190" s="1"/>
      <c r="L190" s="1"/>
      <c r="M190" s="1"/>
      <c r="N190" s="1"/>
      <c r="O190" s="1"/>
      <c r="Q190" s="1"/>
      <c r="R190" s="2"/>
      <c r="S190" s="1"/>
      <c r="T190" s="1"/>
      <c r="V190" s="1"/>
      <c r="W190" s="1"/>
      <c r="AJ190" s="1"/>
    </row>
    <row r="191" ht="14.25" customHeight="1" spans="1:36" x14ac:dyDescent="0.25">
      <c r="A191" s="1"/>
      <c r="B191" s="1"/>
      <c r="C191" s="1"/>
      <c r="D191" s="1"/>
      <c r="E191" s="1"/>
      <c r="F191" s="1"/>
      <c r="G191" s="1"/>
      <c r="H191" s="1"/>
      <c r="I191" s="1"/>
      <c r="J191" s="1"/>
      <c r="K191" s="1"/>
      <c r="L191" s="1"/>
      <c r="M191" s="1"/>
      <c r="N191" s="1"/>
      <c r="O191" s="1"/>
      <c r="Q191" s="1"/>
      <c r="R191" s="2"/>
      <c r="S191" s="1"/>
      <c r="T191" s="1"/>
      <c r="V191" s="1"/>
      <c r="W191" s="1"/>
      <c r="AJ191" s="1"/>
    </row>
    <row r="192" ht="14.25" customHeight="1" spans="1:36" x14ac:dyDescent="0.25">
      <c r="A192" s="1"/>
      <c r="B192" s="1"/>
      <c r="C192" s="1"/>
      <c r="D192" s="1"/>
      <c r="E192" s="1"/>
      <c r="F192" s="1"/>
      <c r="G192" s="1"/>
      <c r="H192" s="1"/>
      <c r="I192" s="1"/>
      <c r="J192" s="1"/>
      <c r="K192" s="1"/>
      <c r="L192" s="1"/>
      <c r="M192" s="1"/>
      <c r="N192" s="1"/>
      <c r="O192" s="1"/>
      <c r="Q192" s="1"/>
      <c r="R192" s="2"/>
      <c r="S192" s="1"/>
      <c r="T192" s="1"/>
      <c r="V192" s="1"/>
      <c r="W192" s="1"/>
      <c r="AJ192" s="1"/>
    </row>
    <row r="193" ht="14.25" customHeight="1" spans="1:36" x14ac:dyDescent="0.25">
      <c r="A193" s="1"/>
      <c r="B193" s="1"/>
      <c r="C193" s="1"/>
      <c r="D193" s="1"/>
      <c r="E193" s="1"/>
      <c r="F193" s="1"/>
      <c r="G193" s="1"/>
      <c r="H193" s="1"/>
      <c r="I193" s="1"/>
      <c r="J193" s="1"/>
      <c r="K193" s="1"/>
      <c r="L193" s="1"/>
      <c r="M193" s="1"/>
      <c r="N193" s="1"/>
      <c r="O193" s="1"/>
      <c r="Q193" s="1"/>
      <c r="R193" s="2"/>
      <c r="S193" s="1"/>
      <c r="T193" s="1"/>
      <c r="V193" s="1"/>
      <c r="W193" s="1"/>
      <c r="AJ193" s="1"/>
    </row>
    <row r="194" ht="14.25" customHeight="1" spans="1:36" x14ac:dyDescent="0.25">
      <c r="A194" s="1"/>
      <c r="B194" s="1"/>
      <c r="C194" s="1"/>
      <c r="D194" s="1"/>
      <c r="E194" s="1"/>
      <c r="F194" s="1"/>
      <c r="G194" s="1"/>
      <c r="H194" s="1"/>
      <c r="I194" s="1"/>
      <c r="J194" s="1"/>
      <c r="K194" s="1"/>
      <c r="L194" s="1"/>
      <c r="M194" s="1"/>
      <c r="N194" s="1"/>
      <c r="O194" s="1"/>
      <c r="Q194" s="1"/>
      <c r="R194" s="2"/>
      <c r="S194" s="1"/>
      <c r="T194" s="1"/>
      <c r="V194" s="1"/>
      <c r="W194" s="1"/>
      <c r="AJ194" s="1"/>
    </row>
    <row r="195" ht="14.25" customHeight="1" spans="1:36" x14ac:dyDescent="0.25">
      <c r="A195" s="1"/>
      <c r="B195" s="1"/>
      <c r="C195" s="1"/>
      <c r="D195" s="1"/>
      <c r="E195" s="1"/>
      <c r="F195" s="1"/>
      <c r="G195" s="1"/>
      <c r="H195" s="1"/>
      <c r="I195" s="1"/>
      <c r="J195" s="1"/>
      <c r="K195" s="1"/>
      <c r="L195" s="1"/>
      <c r="M195" s="1"/>
      <c r="N195" s="1"/>
      <c r="O195" s="1"/>
      <c r="Q195" s="1"/>
      <c r="R195" s="2"/>
      <c r="S195" s="1"/>
      <c r="T195" s="1"/>
      <c r="V195" s="1"/>
      <c r="W195" s="1"/>
      <c r="AJ195" s="1"/>
    </row>
    <row r="196" ht="14.25" customHeight="1" spans="1:36" x14ac:dyDescent="0.25">
      <c r="A196" s="1"/>
      <c r="B196" s="1"/>
      <c r="C196" s="1"/>
      <c r="D196" s="1"/>
      <c r="E196" s="1"/>
      <c r="F196" s="1"/>
      <c r="G196" s="1"/>
      <c r="H196" s="1"/>
      <c r="I196" s="1"/>
      <c r="J196" s="1"/>
      <c r="K196" s="1"/>
      <c r="L196" s="1"/>
      <c r="M196" s="1"/>
      <c r="N196" s="1"/>
      <c r="O196" s="1"/>
      <c r="Q196" s="1"/>
      <c r="R196" s="2"/>
      <c r="S196" s="1"/>
      <c r="T196" s="1"/>
      <c r="V196" s="1"/>
      <c r="W196" s="1"/>
      <c r="AJ196" s="1"/>
    </row>
    <row r="197" ht="14.25" customHeight="1" spans="1:36" x14ac:dyDescent="0.25">
      <c r="A197" s="1"/>
      <c r="B197" s="1"/>
      <c r="C197" s="1"/>
      <c r="D197" s="1"/>
      <c r="E197" s="1"/>
      <c r="F197" s="1"/>
      <c r="G197" s="1"/>
      <c r="H197" s="1"/>
      <c r="I197" s="1"/>
      <c r="J197" s="1"/>
      <c r="K197" s="1"/>
      <c r="L197" s="1"/>
      <c r="M197" s="1"/>
      <c r="N197" s="1"/>
      <c r="O197" s="1"/>
      <c r="Q197" s="1"/>
      <c r="R197" s="2"/>
      <c r="S197" s="1"/>
      <c r="T197" s="1"/>
      <c r="V197" s="1"/>
      <c r="W197" s="1"/>
      <c r="AJ197" s="1"/>
    </row>
    <row r="198" ht="14.25" customHeight="1" spans="1:36" x14ac:dyDescent="0.25">
      <c r="A198" s="1"/>
      <c r="B198" s="1"/>
      <c r="C198" s="1"/>
      <c r="D198" s="1"/>
      <c r="E198" s="1"/>
      <c r="F198" s="1"/>
      <c r="G198" s="1"/>
      <c r="H198" s="1"/>
      <c r="I198" s="1"/>
      <c r="J198" s="1"/>
      <c r="K198" s="1"/>
      <c r="L198" s="1"/>
      <c r="M198" s="1"/>
      <c r="N198" s="1"/>
      <c r="O198" s="1"/>
      <c r="Q198" s="1"/>
      <c r="R198" s="2"/>
      <c r="S198" s="1"/>
      <c r="T198" s="1"/>
      <c r="V198" s="1"/>
      <c r="W198" s="1"/>
      <c r="AJ198" s="1"/>
    </row>
    <row r="199" ht="14.25" customHeight="1" spans="1:36" x14ac:dyDescent="0.25">
      <c r="A199" s="1"/>
      <c r="B199" s="1"/>
      <c r="C199" s="1"/>
      <c r="D199" s="1"/>
      <c r="E199" s="1"/>
      <c r="F199" s="1"/>
      <c r="G199" s="1"/>
      <c r="H199" s="1"/>
      <c r="I199" s="1"/>
      <c r="J199" s="1"/>
      <c r="K199" s="1"/>
      <c r="L199" s="1"/>
      <c r="M199" s="1"/>
      <c r="N199" s="1"/>
      <c r="O199" s="1"/>
      <c r="Q199" s="1"/>
      <c r="R199" s="2"/>
      <c r="S199" s="1"/>
      <c r="T199" s="1"/>
      <c r="V199" s="1"/>
      <c r="W199" s="1"/>
      <c r="AJ199" s="1"/>
    </row>
    <row r="200" ht="14.25" customHeight="1" spans="1:36" x14ac:dyDescent="0.25">
      <c r="A200" s="1"/>
      <c r="B200" s="1"/>
      <c r="C200" s="1"/>
      <c r="D200" s="1"/>
      <c r="E200" s="1"/>
      <c r="F200" s="1"/>
      <c r="G200" s="1"/>
      <c r="H200" s="1"/>
      <c r="I200" s="1"/>
      <c r="J200" s="1"/>
      <c r="K200" s="1"/>
      <c r="L200" s="1"/>
      <c r="M200" s="1"/>
      <c r="N200" s="1"/>
      <c r="O200" s="1"/>
      <c r="Q200" s="1"/>
      <c r="R200" s="2"/>
      <c r="S200" s="1"/>
      <c r="T200" s="1"/>
      <c r="V200" s="1"/>
      <c r="W200" s="1"/>
      <c r="AJ200" s="1"/>
    </row>
    <row r="201" ht="14.25" customHeight="1" spans="1:36" x14ac:dyDescent="0.25">
      <c r="A201" s="1"/>
      <c r="B201" s="1"/>
      <c r="C201" s="1"/>
      <c r="D201" s="1"/>
      <c r="E201" s="1"/>
      <c r="F201" s="1"/>
      <c r="G201" s="1"/>
      <c r="H201" s="1"/>
      <c r="I201" s="1"/>
      <c r="J201" s="1"/>
      <c r="K201" s="1"/>
      <c r="L201" s="1"/>
      <c r="M201" s="1"/>
      <c r="N201" s="1"/>
      <c r="O201" s="1"/>
      <c r="Q201" s="1"/>
      <c r="R201" s="2"/>
      <c r="S201" s="1"/>
      <c r="T201" s="1"/>
      <c r="V201" s="1"/>
      <c r="W201" s="1"/>
      <c r="AJ201" s="1"/>
    </row>
    <row r="202" ht="14.25" customHeight="1" spans="1:36" x14ac:dyDescent="0.25">
      <c r="A202" s="1"/>
      <c r="B202" s="1"/>
      <c r="C202" s="1"/>
      <c r="D202" s="1"/>
      <c r="E202" s="1"/>
      <c r="F202" s="1"/>
      <c r="G202" s="1"/>
      <c r="H202" s="1"/>
      <c r="I202" s="1"/>
      <c r="J202" s="1"/>
      <c r="K202" s="1"/>
      <c r="L202" s="1"/>
      <c r="M202" s="1"/>
      <c r="N202" s="1"/>
      <c r="O202" s="1"/>
      <c r="Q202" s="1"/>
      <c r="R202" s="2"/>
      <c r="S202" s="1"/>
      <c r="T202" s="1"/>
      <c r="V202" s="1"/>
      <c r="W202" s="1"/>
      <c r="AJ202" s="1"/>
    </row>
    <row r="203" ht="14.25" customHeight="1" spans="1:36" x14ac:dyDescent="0.25">
      <c r="A203" s="1"/>
      <c r="B203" s="1"/>
      <c r="C203" s="1"/>
      <c r="D203" s="1"/>
      <c r="E203" s="1"/>
      <c r="F203" s="1"/>
      <c r="G203" s="1"/>
      <c r="H203" s="1"/>
      <c r="I203" s="1"/>
      <c r="J203" s="1"/>
      <c r="K203" s="1"/>
      <c r="L203" s="1"/>
      <c r="M203" s="1"/>
      <c r="N203" s="1"/>
      <c r="O203" s="1"/>
      <c r="Q203" s="1"/>
      <c r="R203" s="2"/>
      <c r="S203" s="1"/>
      <c r="T203" s="1"/>
      <c r="V203" s="1"/>
      <c r="W203" s="1"/>
      <c r="AJ203" s="1"/>
    </row>
    <row r="204" ht="14.25" customHeight="1" spans="1:36" x14ac:dyDescent="0.25">
      <c r="A204" s="1"/>
      <c r="B204" s="1"/>
      <c r="C204" s="1"/>
      <c r="D204" s="1"/>
      <c r="E204" s="1"/>
      <c r="F204" s="1"/>
      <c r="G204" s="1"/>
      <c r="H204" s="1"/>
      <c r="I204" s="1"/>
      <c r="J204" s="1"/>
      <c r="K204" s="1"/>
      <c r="L204" s="1"/>
      <c r="M204" s="1"/>
      <c r="N204" s="1"/>
      <c r="O204" s="1"/>
      <c r="Q204" s="1"/>
      <c r="R204" s="2"/>
      <c r="S204" s="1"/>
      <c r="T204" s="1"/>
      <c r="V204" s="1"/>
      <c r="W204" s="1"/>
      <c r="AJ204" s="1"/>
    </row>
    <row r="205" ht="14.25" customHeight="1" spans="1:36" x14ac:dyDescent="0.25">
      <c r="A205" s="1"/>
      <c r="B205" s="1"/>
      <c r="C205" s="1"/>
      <c r="D205" s="1"/>
      <c r="E205" s="1"/>
      <c r="F205" s="1"/>
      <c r="G205" s="1"/>
      <c r="H205" s="1"/>
      <c r="I205" s="1"/>
      <c r="J205" s="1"/>
      <c r="K205" s="1"/>
      <c r="L205" s="1"/>
      <c r="M205" s="1"/>
      <c r="N205" s="1"/>
      <c r="O205" s="1"/>
      <c r="Q205" s="1"/>
      <c r="R205" s="2"/>
      <c r="S205" s="1"/>
      <c r="T205" s="1"/>
      <c r="V205" s="1"/>
      <c r="W205" s="1"/>
      <c r="AJ205" s="1"/>
    </row>
    <row r="206" ht="14.25" customHeight="1" spans="1:36" x14ac:dyDescent="0.25">
      <c r="A206" s="1"/>
      <c r="B206" s="1"/>
      <c r="C206" s="1"/>
      <c r="D206" s="1"/>
      <c r="E206" s="1"/>
      <c r="F206" s="1"/>
      <c r="G206" s="1"/>
      <c r="H206" s="1"/>
      <c r="I206" s="1"/>
      <c r="J206" s="1"/>
      <c r="K206" s="1"/>
      <c r="L206" s="1"/>
      <c r="M206" s="1"/>
      <c r="N206" s="1"/>
      <c r="O206" s="1"/>
      <c r="Q206" s="1"/>
      <c r="R206" s="2"/>
      <c r="S206" s="1"/>
      <c r="T206" s="1"/>
      <c r="V206" s="1"/>
      <c r="W206" s="1"/>
      <c r="AJ206" s="1"/>
    </row>
    <row r="207" ht="14.25" customHeight="1" spans="1:36" x14ac:dyDescent="0.25">
      <c r="A207" s="1"/>
      <c r="B207" s="1"/>
      <c r="C207" s="1"/>
      <c r="D207" s="1"/>
      <c r="E207" s="1"/>
      <c r="F207" s="1"/>
      <c r="G207" s="1"/>
      <c r="H207" s="1"/>
      <c r="I207" s="1"/>
      <c r="J207" s="1"/>
      <c r="K207" s="1"/>
      <c r="L207" s="1"/>
      <c r="M207" s="1"/>
      <c r="N207" s="1"/>
      <c r="O207" s="1"/>
      <c r="Q207" s="1"/>
      <c r="R207" s="2"/>
      <c r="S207" s="1"/>
      <c r="T207" s="1"/>
      <c r="V207" s="1"/>
      <c r="W207" s="1"/>
      <c r="AJ207" s="1"/>
    </row>
    <row r="208" ht="14.25" customHeight="1" spans="1:36" x14ac:dyDescent="0.25">
      <c r="A208" s="1"/>
      <c r="B208" s="1"/>
      <c r="C208" s="1"/>
      <c r="D208" s="1"/>
      <c r="E208" s="1"/>
      <c r="F208" s="1"/>
      <c r="G208" s="1"/>
      <c r="H208" s="1"/>
      <c r="I208" s="1"/>
      <c r="J208" s="1"/>
      <c r="K208" s="1"/>
      <c r="L208" s="1"/>
      <c r="M208" s="1"/>
      <c r="N208" s="1"/>
      <c r="O208" s="1"/>
      <c r="Q208" s="1"/>
      <c r="R208" s="2"/>
      <c r="S208" s="1"/>
      <c r="T208" s="1"/>
      <c r="V208" s="1"/>
      <c r="W208" s="1"/>
      <c r="AJ208" s="1"/>
    </row>
    <row r="209" ht="14.25" customHeight="1" spans="1:36" x14ac:dyDescent="0.25">
      <c r="A209" s="1"/>
      <c r="B209" s="1"/>
      <c r="C209" s="1"/>
      <c r="D209" s="1"/>
      <c r="E209" s="1"/>
      <c r="F209" s="1"/>
      <c r="G209" s="1"/>
      <c r="H209" s="1"/>
      <c r="I209" s="1"/>
      <c r="J209" s="1"/>
      <c r="K209" s="1"/>
      <c r="L209" s="1"/>
      <c r="M209" s="1"/>
      <c r="N209" s="1"/>
      <c r="O209" s="1"/>
      <c r="Q209" s="1"/>
      <c r="R209" s="2"/>
      <c r="S209" s="1"/>
      <c r="T209" s="1"/>
      <c r="V209" s="1"/>
      <c r="W209" s="1"/>
      <c r="AJ209" s="1"/>
    </row>
    <row r="210" ht="14.25" customHeight="1" spans="1:36" x14ac:dyDescent="0.25">
      <c r="A210" s="1"/>
      <c r="B210" s="1"/>
      <c r="C210" s="1"/>
      <c r="D210" s="1"/>
      <c r="E210" s="1"/>
      <c r="F210" s="1"/>
      <c r="G210" s="1"/>
      <c r="H210" s="1"/>
      <c r="I210" s="1"/>
      <c r="J210" s="1"/>
      <c r="K210" s="1"/>
      <c r="L210" s="1"/>
      <c r="M210" s="1"/>
      <c r="N210" s="1"/>
      <c r="O210" s="1"/>
      <c r="Q210" s="1"/>
      <c r="R210" s="2"/>
      <c r="S210" s="1"/>
      <c r="T210" s="1"/>
      <c r="V210" s="1"/>
      <c r="W210" s="1"/>
      <c r="AJ210" s="1"/>
    </row>
    <row r="211" ht="14.25" customHeight="1" spans="1:36" x14ac:dyDescent="0.25">
      <c r="A211" s="1"/>
      <c r="B211" s="1"/>
      <c r="C211" s="1"/>
      <c r="D211" s="1"/>
      <c r="E211" s="1"/>
      <c r="F211" s="1"/>
      <c r="G211" s="1"/>
      <c r="H211" s="1"/>
      <c r="I211" s="1"/>
      <c r="J211" s="1"/>
      <c r="K211" s="1"/>
      <c r="L211" s="1"/>
      <c r="M211" s="1"/>
      <c r="N211" s="1"/>
      <c r="O211" s="1"/>
      <c r="Q211" s="1"/>
      <c r="R211" s="2"/>
      <c r="S211" s="1"/>
      <c r="T211" s="1"/>
      <c r="V211" s="1"/>
      <c r="W211" s="1"/>
      <c r="AJ211" s="1"/>
    </row>
    <row r="212" ht="14.25" customHeight="1" spans="1:36" x14ac:dyDescent="0.25">
      <c r="A212" s="1"/>
      <c r="B212" s="1"/>
      <c r="C212" s="1"/>
      <c r="D212" s="1"/>
      <c r="E212" s="1"/>
      <c r="F212" s="1"/>
      <c r="G212" s="1"/>
      <c r="H212" s="1"/>
      <c r="I212" s="1"/>
      <c r="J212" s="1"/>
      <c r="K212" s="1"/>
      <c r="L212" s="1"/>
      <c r="M212" s="1"/>
      <c r="N212" s="1"/>
      <c r="O212" s="1"/>
      <c r="Q212" s="1"/>
      <c r="R212" s="2"/>
      <c r="S212" s="1"/>
      <c r="T212" s="1"/>
      <c r="V212" s="1"/>
      <c r="W212" s="1"/>
      <c r="AJ212" s="1"/>
    </row>
    <row r="213" ht="14.25" customHeight="1" spans="1:36" x14ac:dyDescent="0.25">
      <c r="A213" s="1"/>
      <c r="B213" s="1"/>
      <c r="C213" s="1"/>
      <c r="D213" s="1"/>
      <c r="E213" s="1"/>
      <c r="F213" s="1"/>
      <c r="G213" s="1"/>
      <c r="H213" s="1"/>
      <c r="I213" s="1"/>
      <c r="J213" s="1"/>
      <c r="K213" s="1"/>
      <c r="L213" s="1"/>
      <c r="M213" s="1"/>
      <c r="N213" s="1"/>
      <c r="O213" s="1"/>
      <c r="Q213" s="1"/>
      <c r="R213" s="2"/>
      <c r="S213" s="1"/>
      <c r="T213" s="1"/>
      <c r="V213" s="1"/>
      <c r="W213" s="1"/>
      <c r="AJ213" s="1"/>
    </row>
    <row r="214" ht="14.25" customHeight="1" spans="1:36" x14ac:dyDescent="0.25">
      <c r="A214" s="1"/>
      <c r="B214" s="1"/>
      <c r="C214" s="1"/>
      <c r="D214" s="1"/>
      <c r="E214" s="1"/>
      <c r="F214" s="1"/>
      <c r="G214" s="1"/>
      <c r="H214" s="1"/>
      <c r="I214" s="1"/>
      <c r="J214" s="1"/>
      <c r="K214" s="1"/>
      <c r="L214" s="1"/>
      <c r="M214" s="1"/>
      <c r="N214" s="1"/>
      <c r="O214" s="1"/>
      <c r="Q214" s="1"/>
      <c r="R214" s="2"/>
      <c r="S214" s="1"/>
      <c r="T214" s="1"/>
      <c r="V214" s="1"/>
      <c r="W214" s="1"/>
      <c r="AJ214" s="1"/>
    </row>
    <row r="215" ht="14.25" customHeight="1" spans="1:36" x14ac:dyDescent="0.25">
      <c r="A215" s="1"/>
      <c r="B215" s="1"/>
      <c r="C215" s="1"/>
      <c r="D215" s="1"/>
      <c r="E215" s="1"/>
      <c r="F215" s="1"/>
      <c r="G215" s="1"/>
      <c r="H215" s="1"/>
      <c r="I215" s="1"/>
      <c r="J215" s="1"/>
      <c r="K215" s="1"/>
      <c r="L215" s="1"/>
      <c r="M215" s="1"/>
      <c r="N215" s="1"/>
      <c r="O215" s="1"/>
      <c r="Q215" s="1"/>
      <c r="R215" s="2"/>
      <c r="S215" s="1"/>
      <c r="T215" s="1"/>
      <c r="V215" s="1"/>
      <c r="W215" s="1"/>
      <c r="AJ215" s="1"/>
    </row>
    <row r="216" ht="14.25" customHeight="1" spans="1:36" x14ac:dyDescent="0.25">
      <c r="A216" s="1"/>
      <c r="B216" s="1"/>
      <c r="C216" s="1"/>
      <c r="D216" s="1"/>
      <c r="E216" s="1"/>
      <c r="F216" s="1"/>
      <c r="G216" s="1"/>
      <c r="H216" s="1"/>
      <c r="I216" s="1"/>
      <c r="J216" s="1"/>
      <c r="K216" s="1"/>
      <c r="L216" s="1"/>
      <c r="M216" s="1"/>
      <c r="N216" s="1"/>
      <c r="O216" s="1"/>
      <c r="Q216" s="1"/>
      <c r="R216" s="2"/>
      <c r="S216" s="1"/>
      <c r="T216" s="1"/>
      <c r="V216" s="1"/>
      <c r="W216" s="1"/>
      <c r="AJ216" s="1"/>
    </row>
    <row r="217" ht="14.25" customHeight="1" spans="1:36" x14ac:dyDescent="0.25">
      <c r="A217" s="1"/>
      <c r="B217" s="1"/>
      <c r="C217" s="1"/>
      <c r="D217" s="1"/>
      <c r="E217" s="1"/>
      <c r="F217" s="1"/>
      <c r="G217" s="1"/>
      <c r="H217" s="1"/>
      <c r="I217" s="1"/>
      <c r="J217" s="1"/>
      <c r="K217" s="1"/>
      <c r="L217" s="1"/>
      <c r="M217" s="1"/>
      <c r="N217" s="1"/>
      <c r="O217" s="1"/>
      <c r="Q217" s="1"/>
      <c r="R217" s="2"/>
      <c r="S217" s="1"/>
      <c r="T217" s="1"/>
      <c r="V217" s="1"/>
      <c r="W217" s="1"/>
      <c r="AJ217" s="1"/>
    </row>
    <row r="218" ht="14.25" customHeight="1" spans="1:36" x14ac:dyDescent="0.25">
      <c r="A218" s="1"/>
      <c r="B218" s="1"/>
      <c r="C218" s="1"/>
      <c r="D218" s="1"/>
      <c r="E218" s="1"/>
      <c r="F218" s="1"/>
      <c r="G218" s="1"/>
      <c r="H218" s="1"/>
      <c r="I218" s="1"/>
      <c r="J218" s="1"/>
      <c r="K218" s="1"/>
      <c r="L218" s="1"/>
      <c r="M218" s="1"/>
      <c r="N218" s="1"/>
      <c r="O218" s="1"/>
      <c r="Q218" s="1"/>
      <c r="R218" s="2"/>
      <c r="S218" s="1"/>
      <c r="T218" s="1"/>
      <c r="V218" s="1"/>
      <c r="W218" s="1"/>
      <c r="AJ218" s="1"/>
    </row>
    <row r="219" ht="14.25" customHeight="1" spans="1:36" x14ac:dyDescent="0.25">
      <c r="A219" s="1"/>
      <c r="B219" s="1"/>
      <c r="C219" s="1"/>
      <c r="D219" s="1"/>
      <c r="E219" s="1"/>
      <c r="F219" s="1"/>
      <c r="G219" s="1"/>
      <c r="H219" s="1"/>
      <c r="I219" s="1"/>
      <c r="J219" s="1"/>
      <c r="K219" s="1"/>
      <c r="L219" s="1"/>
      <c r="M219" s="1"/>
      <c r="N219" s="1"/>
      <c r="O219" s="1"/>
      <c r="Q219" s="1"/>
      <c r="R219" s="2"/>
      <c r="S219" s="1"/>
      <c r="T219" s="1"/>
      <c r="V219" s="1"/>
      <c r="W219" s="1"/>
      <c r="AJ219" s="1"/>
    </row>
    <row r="220" ht="14.25" customHeight="1" spans="1:36" x14ac:dyDescent="0.25">
      <c r="A220" s="1"/>
      <c r="B220" s="1"/>
      <c r="C220" s="1"/>
      <c r="D220" s="1"/>
      <c r="E220" s="1"/>
      <c r="F220" s="1"/>
      <c r="G220" s="1"/>
      <c r="H220" s="1"/>
      <c r="I220" s="1"/>
      <c r="J220" s="1"/>
      <c r="K220" s="1"/>
      <c r="L220" s="1"/>
      <c r="M220" s="1"/>
      <c r="N220" s="1"/>
      <c r="O220" s="1"/>
      <c r="Q220" s="1"/>
      <c r="R220" s="2"/>
      <c r="S220" s="1"/>
      <c r="T220" s="1"/>
      <c r="V220" s="1"/>
      <c r="W220" s="1"/>
      <c r="AJ220" s="1"/>
    </row>
    <row r="221" ht="14.25" customHeight="1" spans="1:36" x14ac:dyDescent="0.25">
      <c r="A221" s="1"/>
      <c r="B221" s="1"/>
      <c r="C221" s="1"/>
      <c r="D221" s="1"/>
      <c r="E221" s="1"/>
      <c r="F221" s="1"/>
      <c r="G221" s="1"/>
      <c r="H221" s="1"/>
      <c r="I221" s="1"/>
      <c r="J221" s="1"/>
      <c r="K221" s="1"/>
      <c r="L221" s="1"/>
      <c r="M221" s="1"/>
      <c r="N221" s="1"/>
      <c r="O221" s="1"/>
      <c r="Q221" s="1"/>
      <c r="R221" s="2"/>
      <c r="S221" s="1"/>
      <c r="T221" s="1"/>
      <c r="V221" s="1"/>
      <c r="W221" s="1"/>
      <c r="AJ221" s="1"/>
    </row>
    <row r="222" ht="14.25" customHeight="1" spans="1:36" x14ac:dyDescent="0.25">
      <c r="A222" s="1"/>
      <c r="B222" s="1"/>
      <c r="C222" s="1"/>
      <c r="D222" s="1"/>
      <c r="E222" s="1"/>
      <c r="F222" s="1"/>
      <c r="G222" s="1"/>
      <c r="H222" s="1"/>
      <c r="I222" s="1"/>
      <c r="J222" s="1"/>
      <c r="K222" s="1"/>
      <c r="L222" s="1"/>
      <c r="M222" s="1"/>
      <c r="N222" s="1"/>
      <c r="O222" s="1"/>
      <c r="Q222" s="1"/>
      <c r="R222" s="2"/>
      <c r="S222" s="1"/>
      <c r="T222" s="1"/>
      <c r="V222" s="1"/>
      <c r="W222" s="1"/>
      <c r="AJ222" s="1"/>
    </row>
    <row r="223" ht="14.25" customHeight="1" spans="1:36" x14ac:dyDescent="0.25">
      <c r="A223" s="1"/>
      <c r="B223" s="1"/>
      <c r="C223" s="1"/>
      <c r="D223" s="1"/>
      <c r="E223" s="1"/>
      <c r="F223" s="1"/>
      <c r="G223" s="1"/>
      <c r="H223" s="1"/>
      <c r="I223" s="1"/>
      <c r="J223" s="1"/>
      <c r="K223" s="1"/>
      <c r="L223" s="1"/>
      <c r="M223" s="1"/>
      <c r="N223" s="1"/>
      <c r="O223" s="1"/>
      <c r="Q223" s="1"/>
      <c r="R223" s="2"/>
      <c r="S223" s="1"/>
      <c r="T223" s="1"/>
      <c r="V223" s="1"/>
      <c r="W223" s="1"/>
      <c r="AJ223" s="1"/>
    </row>
    <row r="224" ht="14.25" customHeight="1" spans="1:36" x14ac:dyDescent="0.25">
      <c r="A224" s="1"/>
      <c r="B224" s="1"/>
      <c r="C224" s="1"/>
      <c r="D224" s="1"/>
      <c r="E224" s="1"/>
      <c r="F224" s="1"/>
      <c r="G224" s="1"/>
      <c r="H224" s="1"/>
      <c r="I224" s="1"/>
      <c r="J224" s="1"/>
      <c r="K224" s="1"/>
      <c r="L224" s="1"/>
      <c r="M224" s="1"/>
      <c r="N224" s="1"/>
      <c r="O224" s="1"/>
      <c r="Q224" s="1"/>
      <c r="R224" s="2"/>
      <c r="S224" s="1"/>
      <c r="T224" s="1"/>
      <c r="V224" s="1"/>
      <c r="W224" s="1"/>
      <c r="AJ224" s="1"/>
    </row>
    <row r="225" ht="14.25" customHeight="1" spans="1:36" x14ac:dyDescent="0.25">
      <c r="A225" s="1"/>
      <c r="B225" s="1"/>
      <c r="C225" s="1"/>
      <c r="D225" s="1"/>
      <c r="E225" s="1"/>
      <c r="F225" s="1"/>
      <c r="G225" s="1"/>
      <c r="H225" s="1"/>
      <c r="I225" s="1"/>
      <c r="J225" s="1"/>
      <c r="K225" s="1"/>
      <c r="L225" s="1"/>
      <c r="M225" s="1"/>
      <c r="N225" s="1"/>
      <c r="O225" s="1"/>
      <c r="Q225" s="1"/>
      <c r="R225" s="2"/>
      <c r="S225" s="1"/>
      <c r="T225" s="1"/>
      <c r="V225" s="1"/>
      <c r="W225" s="1"/>
      <c r="AJ225" s="1"/>
    </row>
    <row r="226" ht="14.25" customHeight="1" spans="1:36" x14ac:dyDescent="0.25">
      <c r="A226" s="1"/>
      <c r="B226" s="1"/>
      <c r="C226" s="1"/>
      <c r="D226" s="1"/>
      <c r="E226" s="1"/>
      <c r="F226" s="1"/>
      <c r="G226" s="1"/>
      <c r="H226" s="1"/>
      <c r="I226" s="1"/>
      <c r="J226" s="1"/>
      <c r="K226" s="1"/>
      <c r="L226" s="1"/>
      <c r="M226" s="1"/>
      <c r="N226" s="1"/>
      <c r="O226" s="1"/>
      <c r="Q226" s="1"/>
      <c r="R226" s="2"/>
      <c r="S226" s="1"/>
      <c r="T226" s="1"/>
      <c r="V226" s="1"/>
      <c r="W226" s="1"/>
      <c r="AJ226" s="1"/>
    </row>
    <row r="227" ht="14.25" customHeight="1" spans="1:36" x14ac:dyDescent="0.25">
      <c r="A227" s="1"/>
      <c r="B227" s="1"/>
      <c r="C227" s="1"/>
      <c r="D227" s="1"/>
      <c r="E227" s="1"/>
      <c r="F227" s="1"/>
      <c r="G227" s="1"/>
      <c r="H227" s="1"/>
      <c r="I227" s="1"/>
      <c r="J227" s="1"/>
      <c r="K227" s="1"/>
      <c r="L227" s="1"/>
      <c r="M227" s="1"/>
      <c r="N227" s="1"/>
      <c r="O227" s="1"/>
      <c r="Q227" s="1"/>
      <c r="R227" s="2"/>
      <c r="S227" s="1"/>
      <c r="T227" s="1"/>
      <c r="V227" s="1"/>
      <c r="W227" s="1"/>
      <c r="AJ227" s="1"/>
    </row>
    <row r="228" ht="14.25" customHeight="1" spans="1:36" x14ac:dyDescent="0.25">
      <c r="A228" s="1"/>
      <c r="B228" s="1"/>
      <c r="C228" s="1"/>
      <c r="D228" s="1"/>
      <c r="E228" s="1"/>
      <c r="F228" s="1"/>
      <c r="G228" s="1"/>
      <c r="H228" s="1"/>
      <c r="I228" s="1"/>
      <c r="J228" s="1"/>
      <c r="K228" s="1"/>
      <c r="L228" s="1"/>
      <c r="M228" s="1"/>
      <c r="N228" s="1"/>
      <c r="O228" s="1"/>
      <c r="Q228" s="1"/>
      <c r="R228" s="2"/>
      <c r="S228" s="1"/>
      <c r="T228" s="1"/>
      <c r="V228" s="1"/>
      <c r="W228" s="1"/>
      <c r="AJ228" s="1"/>
    </row>
    <row r="229" ht="14.25" customHeight="1" spans="1:36" x14ac:dyDescent="0.25">
      <c r="A229" s="1"/>
      <c r="B229" s="1"/>
      <c r="C229" s="1"/>
      <c r="D229" s="1"/>
      <c r="E229" s="1"/>
      <c r="F229" s="1"/>
      <c r="G229" s="1"/>
      <c r="H229" s="1"/>
      <c r="I229" s="1"/>
      <c r="J229" s="1"/>
      <c r="K229" s="1"/>
      <c r="L229" s="1"/>
      <c r="M229" s="1"/>
      <c r="N229" s="1"/>
      <c r="O229" s="1"/>
      <c r="Q229" s="1"/>
      <c r="R229" s="2"/>
      <c r="S229" s="1"/>
      <c r="T229" s="1"/>
      <c r="V229" s="1"/>
      <c r="W229" s="1"/>
      <c r="AJ229" s="1"/>
    </row>
    <row r="230" ht="14.25" customHeight="1" spans="1:36" x14ac:dyDescent="0.25">
      <c r="A230" s="1"/>
      <c r="B230" s="1"/>
      <c r="C230" s="1"/>
      <c r="D230" s="1"/>
      <c r="E230" s="1"/>
      <c r="F230" s="1"/>
      <c r="G230" s="1"/>
      <c r="H230" s="1"/>
      <c r="I230" s="1"/>
      <c r="J230" s="1"/>
      <c r="K230" s="1"/>
      <c r="L230" s="1"/>
      <c r="M230" s="1"/>
      <c r="N230" s="1"/>
      <c r="O230" s="1"/>
      <c r="Q230" s="1"/>
      <c r="R230" s="2"/>
      <c r="S230" s="1"/>
      <c r="T230" s="1"/>
      <c r="V230" s="1"/>
      <c r="W230" s="1"/>
      <c r="AJ230" s="1"/>
    </row>
    <row r="231" ht="14.25" customHeight="1" spans="1:36" x14ac:dyDescent="0.25">
      <c r="A231" s="1"/>
      <c r="B231" s="1"/>
      <c r="C231" s="1"/>
      <c r="D231" s="1"/>
      <c r="E231" s="1"/>
      <c r="F231" s="1"/>
      <c r="G231" s="1"/>
      <c r="H231" s="1"/>
      <c r="I231" s="1"/>
      <c r="J231" s="1"/>
      <c r="K231" s="1"/>
      <c r="L231" s="1"/>
      <c r="M231" s="1"/>
      <c r="N231" s="1"/>
      <c r="O231" s="1"/>
      <c r="Q231" s="1"/>
      <c r="R231" s="2"/>
      <c r="S231" s="1"/>
      <c r="T231" s="1"/>
      <c r="V231" s="1"/>
      <c r="W231" s="1"/>
      <c r="AJ231" s="1"/>
    </row>
    <row r="232" ht="14.25" customHeight="1" spans="1:36" x14ac:dyDescent="0.25">
      <c r="A232" s="1"/>
      <c r="B232" s="1"/>
      <c r="C232" s="1"/>
      <c r="D232" s="1"/>
      <c r="E232" s="1"/>
      <c r="F232" s="1"/>
      <c r="G232" s="1"/>
      <c r="H232" s="1"/>
      <c r="I232" s="1"/>
      <c r="J232" s="1"/>
      <c r="K232" s="1"/>
      <c r="L232" s="1"/>
      <c r="M232" s="1"/>
      <c r="N232" s="1"/>
      <c r="O232" s="1"/>
      <c r="Q232" s="1"/>
      <c r="R232" s="2"/>
      <c r="S232" s="1"/>
      <c r="T232" s="1"/>
      <c r="V232" s="1"/>
      <c r="W232" s="1"/>
      <c r="AJ232" s="1"/>
    </row>
    <row r="233" ht="14.25" customHeight="1" spans="1:36" x14ac:dyDescent="0.25">
      <c r="A233" s="1"/>
      <c r="B233" s="1"/>
      <c r="C233" s="1"/>
      <c r="D233" s="1"/>
      <c r="E233" s="1"/>
      <c r="F233" s="1"/>
      <c r="G233" s="1"/>
      <c r="H233" s="1"/>
      <c r="I233" s="1"/>
      <c r="J233" s="1"/>
      <c r="K233" s="1"/>
      <c r="L233" s="1"/>
      <c r="M233" s="1"/>
      <c r="N233" s="1"/>
      <c r="O233" s="1"/>
      <c r="Q233" s="1"/>
      <c r="R233" s="2"/>
      <c r="S233" s="1"/>
      <c r="T233" s="1"/>
      <c r="V233" s="1"/>
      <c r="W233" s="1"/>
      <c r="AJ233" s="1"/>
    </row>
    <row r="234" ht="14.25" customHeight="1" spans="1:36" x14ac:dyDescent="0.25">
      <c r="A234" s="1"/>
      <c r="B234" s="1"/>
      <c r="C234" s="1"/>
      <c r="D234" s="1"/>
      <c r="E234" s="1"/>
      <c r="F234" s="1"/>
      <c r="G234" s="1"/>
      <c r="H234" s="1"/>
      <c r="I234" s="1"/>
      <c r="J234" s="1"/>
      <c r="K234" s="1"/>
      <c r="L234" s="1"/>
      <c r="M234" s="1"/>
      <c r="N234" s="1"/>
      <c r="O234" s="1"/>
      <c r="Q234" s="1"/>
      <c r="R234" s="2"/>
      <c r="S234" s="1"/>
      <c r="T234" s="1"/>
      <c r="V234" s="1"/>
      <c r="W234" s="1"/>
      <c r="AJ234" s="1"/>
    </row>
    <row r="235" ht="14.25" customHeight="1" spans="1:36" x14ac:dyDescent="0.25">
      <c r="A235" s="1"/>
      <c r="B235" s="1"/>
      <c r="C235" s="1"/>
      <c r="D235" s="1"/>
      <c r="E235" s="1"/>
      <c r="F235" s="1"/>
      <c r="G235" s="1"/>
      <c r="H235" s="1"/>
      <c r="I235" s="1"/>
      <c r="J235" s="1"/>
      <c r="K235" s="1"/>
      <c r="L235" s="1"/>
      <c r="M235" s="1"/>
      <c r="N235" s="1"/>
      <c r="O235" s="1"/>
      <c r="Q235" s="1"/>
      <c r="R235" s="2"/>
      <c r="S235" s="1"/>
      <c r="T235" s="1"/>
      <c r="V235" s="1"/>
      <c r="W235" s="1"/>
      <c r="AJ235" s="1"/>
    </row>
    <row r="236" ht="14.25" customHeight="1" spans="1:36" x14ac:dyDescent="0.25">
      <c r="A236" s="1"/>
      <c r="B236" s="1"/>
      <c r="C236" s="1"/>
      <c r="D236" s="1"/>
      <c r="E236" s="1"/>
      <c r="F236" s="1"/>
      <c r="G236" s="1"/>
      <c r="H236" s="1"/>
      <c r="I236" s="1"/>
      <c r="J236" s="1"/>
      <c r="K236" s="1"/>
      <c r="L236" s="1"/>
      <c r="M236" s="1"/>
      <c r="N236" s="1"/>
      <c r="O236" s="1"/>
      <c r="Q236" s="1"/>
      <c r="R236" s="2"/>
      <c r="S236" s="1"/>
      <c r="T236" s="1"/>
      <c r="V236" s="1"/>
      <c r="W236" s="1"/>
      <c r="AJ236" s="1"/>
    </row>
    <row r="237" ht="14.25" customHeight="1" spans="1:36" x14ac:dyDescent="0.25">
      <c r="A237" s="1"/>
      <c r="B237" s="1"/>
      <c r="C237" s="1"/>
      <c r="D237" s="1"/>
      <c r="E237" s="1"/>
      <c r="F237" s="1"/>
      <c r="G237" s="1"/>
      <c r="H237" s="1"/>
      <c r="I237" s="1"/>
      <c r="J237" s="1"/>
      <c r="K237" s="1"/>
      <c r="L237" s="1"/>
      <c r="M237" s="1"/>
      <c r="N237" s="1"/>
      <c r="O237" s="1"/>
      <c r="Q237" s="1"/>
      <c r="R237" s="2"/>
      <c r="S237" s="1"/>
      <c r="T237" s="1"/>
      <c r="V237" s="1"/>
      <c r="W237" s="1"/>
      <c r="AJ237" s="1"/>
    </row>
    <row r="238" ht="14.25" customHeight="1" spans="1:36" x14ac:dyDescent="0.25">
      <c r="A238" s="1"/>
      <c r="B238" s="1"/>
      <c r="C238" s="1"/>
      <c r="D238" s="1"/>
      <c r="E238" s="1"/>
      <c r="F238" s="1"/>
      <c r="G238" s="1"/>
      <c r="H238" s="1"/>
      <c r="I238" s="1"/>
      <c r="J238" s="1"/>
      <c r="K238" s="1"/>
      <c r="L238" s="1"/>
      <c r="M238" s="1"/>
      <c r="N238" s="1"/>
      <c r="O238" s="1"/>
      <c r="Q238" s="1"/>
      <c r="R238" s="2"/>
      <c r="S238" s="1"/>
      <c r="T238" s="1"/>
      <c r="V238" s="1"/>
      <c r="W238" s="1"/>
      <c r="AJ238" s="1"/>
    </row>
    <row r="239" ht="14.25" customHeight="1" spans="1:36" x14ac:dyDescent="0.25">
      <c r="A239" s="1"/>
      <c r="B239" s="1"/>
      <c r="C239" s="1"/>
      <c r="D239" s="1"/>
      <c r="E239" s="1"/>
      <c r="F239" s="1"/>
      <c r="G239" s="1"/>
      <c r="H239" s="1"/>
      <c r="I239" s="1"/>
      <c r="J239" s="1"/>
      <c r="K239" s="1"/>
      <c r="L239" s="1"/>
      <c r="M239" s="1"/>
      <c r="N239" s="1"/>
      <c r="O239" s="1"/>
      <c r="Q239" s="1"/>
      <c r="R239" s="2"/>
      <c r="S239" s="1"/>
      <c r="T239" s="1"/>
      <c r="V239" s="1"/>
      <c r="W239" s="1"/>
      <c r="AJ239" s="1"/>
    </row>
    <row r="240" ht="14.25" customHeight="1" spans="1:36" x14ac:dyDescent="0.25">
      <c r="A240" s="1"/>
      <c r="B240" s="1"/>
      <c r="C240" s="1"/>
      <c r="D240" s="1"/>
      <c r="E240" s="1"/>
      <c r="F240" s="1"/>
      <c r="G240" s="1"/>
      <c r="H240" s="1"/>
      <c r="I240" s="1"/>
      <c r="J240" s="1"/>
      <c r="K240" s="1"/>
      <c r="L240" s="1"/>
      <c r="M240" s="1"/>
      <c r="N240" s="1"/>
      <c r="O240" s="1"/>
      <c r="Q240" s="1"/>
      <c r="R240" s="2"/>
      <c r="S240" s="1"/>
      <c r="T240" s="1"/>
      <c r="V240" s="1"/>
      <c r="W240" s="1"/>
      <c r="AJ240" s="1"/>
    </row>
    <row r="241" ht="14.25" customHeight="1" spans="1:36" x14ac:dyDescent="0.25">
      <c r="A241" s="1"/>
      <c r="B241" s="1"/>
      <c r="C241" s="1"/>
      <c r="D241" s="1"/>
      <c r="E241" s="1"/>
      <c r="F241" s="1"/>
      <c r="G241" s="1"/>
      <c r="H241" s="1"/>
      <c r="I241" s="1"/>
      <c r="J241" s="1"/>
      <c r="K241" s="1"/>
      <c r="L241" s="1"/>
      <c r="M241" s="1"/>
      <c r="N241" s="1"/>
      <c r="O241" s="1"/>
      <c r="Q241" s="1"/>
      <c r="R241" s="2"/>
      <c r="S241" s="1"/>
      <c r="T241" s="1"/>
      <c r="V241" s="1"/>
      <c r="W241" s="1"/>
      <c r="AJ241" s="1"/>
    </row>
    <row r="242" ht="14.25" customHeight="1" spans="1:36" x14ac:dyDescent="0.25">
      <c r="A242" s="1"/>
      <c r="B242" s="1"/>
      <c r="C242" s="1"/>
      <c r="D242" s="1"/>
      <c r="E242" s="1"/>
      <c r="F242" s="1"/>
      <c r="G242" s="1"/>
      <c r="H242" s="1"/>
      <c r="I242" s="1"/>
      <c r="J242" s="1"/>
      <c r="K242" s="1"/>
      <c r="L242" s="1"/>
      <c r="M242" s="1"/>
      <c r="N242" s="1"/>
      <c r="O242" s="1"/>
      <c r="Q242" s="1"/>
      <c r="R242" s="2"/>
      <c r="S242" s="1"/>
      <c r="T242" s="1"/>
      <c r="V242" s="1"/>
      <c r="W242" s="1"/>
      <c r="AJ242" s="1"/>
    </row>
    <row r="243" ht="14.25" customHeight="1" spans="1:36" x14ac:dyDescent="0.25">
      <c r="A243" s="1"/>
      <c r="B243" s="1"/>
      <c r="C243" s="1"/>
      <c r="D243" s="1"/>
      <c r="E243" s="1"/>
      <c r="F243" s="1"/>
      <c r="G243" s="1"/>
      <c r="H243" s="1"/>
      <c r="I243" s="1"/>
      <c r="J243" s="1"/>
      <c r="K243" s="1"/>
      <c r="L243" s="1"/>
      <c r="M243" s="1"/>
      <c r="N243" s="1"/>
      <c r="O243" s="1"/>
      <c r="Q243" s="1"/>
      <c r="R243" s="2"/>
      <c r="S243" s="1"/>
      <c r="T243" s="1"/>
      <c r="V243" s="1"/>
      <c r="W243" s="1"/>
      <c r="AJ243" s="1"/>
    </row>
    <row r="244" ht="14.25" customHeight="1" spans="1:36" x14ac:dyDescent="0.25">
      <c r="A244" s="1"/>
      <c r="B244" s="1"/>
      <c r="C244" s="1"/>
      <c r="D244" s="1"/>
      <c r="E244" s="1"/>
      <c r="F244" s="1"/>
      <c r="G244" s="1"/>
      <c r="H244" s="1"/>
      <c r="I244" s="1"/>
      <c r="J244" s="1"/>
      <c r="K244" s="1"/>
      <c r="L244" s="1"/>
      <c r="M244" s="1"/>
      <c r="N244" s="1"/>
      <c r="O244" s="1"/>
      <c r="Q244" s="1"/>
      <c r="R244" s="2"/>
      <c r="S244" s="1"/>
      <c r="T244" s="1"/>
      <c r="V244" s="1"/>
      <c r="W244" s="1"/>
      <c r="AJ244" s="1"/>
    </row>
    <row r="245" ht="14.25" customHeight="1" spans="1:36" x14ac:dyDescent="0.25">
      <c r="A245" s="1"/>
      <c r="B245" s="1"/>
      <c r="C245" s="1"/>
      <c r="D245" s="1"/>
      <c r="E245" s="1"/>
      <c r="F245" s="1"/>
      <c r="G245" s="1"/>
      <c r="H245" s="1"/>
      <c r="I245" s="1"/>
      <c r="J245" s="1"/>
      <c r="K245" s="1"/>
      <c r="L245" s="1"/>
      <c r="M245" s="1"/>
      <c r="N245" s="1"/>
      <c r="O245" s="1"/>
      <c r="Q245" s="1"/>
      <c r="R245" s="2"/>
      <c r="S245" s="1"/>
      <c r="T245" s="1"/>
      <c r="V245" s="1"/>
      <c r="W245" s="1"/>
      <c r="AJ245" s="1"/>
    </row>
    <row r="246" ht="14.25" customHeight="1" spans="1:36" x14ac:dyDescent="0.25">
      <c r="A246" s="1"/>
      <c r="B246" s="1"/>
      <c r="C246" s="1"/>
      <c r="D246" s="1"/>
      <c r="E246" s="1"/>
      <c r="F246" s="1"/>
      <c r="G246" s="1"/>
      <c r="H246" s="1"/>
      <c r="I246" s="1"/>
      <c r="J246" s="1"/>
      <c r="K246" s="1"/>
      <c r="L246" s="1"/>
      <c r="M246" s="1"/>
      <c r="N246" s="1"/>
      <c r="O246" s="1"/>
      <c r="Q246" s="1"/>
      <c r="R246" s="2"/>
      <c r="S246" s="1"/>
      <c r="T246" s="1"/>
      <c r="V246" s="1"/>
      <c r="W246" s="1"/>
      <c r="AJ246" s="1"/>
    </row>
    <row r="247" ht="14.25" customHeight="1" spans="1:36" x14ac:dyDescent="0.25">
      <c r="A247" s="1"/>
      <c r="B247" s="1"/>
      <c r="C247" s="1"/>
      <c r="D247" s="1"/>
      <c r="E247" s="1"/>
      <c r="F247" s="1"/>
      <c r="G247" s="1"/>
      <c r="H247" s="1"/>
      <c r="I247" s="1"/>
      <c r="J247" s="1"/>
      <c r="K247" s="1"/>
      <c r="L247" s="1"/>
      <c r="M247" s="1"/>
      <c r="N247" s="1"/>
      <c r="O247" s="1"/>
      <c r="Q247" s="1"/>
      <c r="R247" s="2"/>
      <c r="S247" s="1"/>
      <c r="T247" s="1"/>
      <c r="V247" s="1"/>
      <c r="W247" s="1"/>
      <c r="AJ247" s="1"/>
    </row>
    <row r="248" ht="14.25" customHeight="1" spans="1:36" x14ac:dyDescent="0.25">
      <c r="A248" s="1"/>
      <c r="B248" s="1"/>
      <c r="C248" s="1"/>
      <c r="D248" s="1"/>
      <c r="E248" s="1"/>
      <c r="F248" s="1"/>
      <c r="G248" s="1"/>
      <c r="H248" s="1"/>
      <c r="I248" s="1"/>
      <c r="J248" s="1"/>
      <c r="K248" s="1"/>
      <c r="L248" s="1"/>
      <c r="M248" s="1"/>
      <c r="N248" s="1"/>
      <c r="O248" s="1"/>
      <c r="Q248" s="1"/>
      <c r="R248" s="2"/>
      <c r="S248" s="1"/>
      <c r="T248" s="1"/>
      <c r="V248" s="1"/>
      <c r="W248" s="1"/>
      <c r="AJ248" s="1"/>
    </row>
    <row r="249" ht="14.25" customHeight="1" spans="1:36" x14ac:dyDescent="0.25">
      <c r="A249" s="1"/>
      <c r="B249" s="1"/>
      <c r="C249" s="1"/>
      <c r="D249" s="1"/>
      <c r="E249" s="1"/>
      <c r="F249" s="1"/>
      <c r="G249" s="1"/>
      <c r="H249" s="1"/>
      <c r="I249" s="1"/>
      <c r="J249" s="1"/>
      <c r="K249" s="1"/>
      <c r="L249" s="1"/>
      <c r="M249" s="1"/>
      <c r="N249" s="1"/>
      <c r="O249" s="1"/>
      <c r="Q249" s="1"/>
      <c r="R249" s="2"/>
      <c r="S249" s="1"/>
      <c r="T249" s="1"/>
      <c r="V249" s="1"/>
      <c r="W249" s="1"/>
      <c r="AJ249" s="1"/>
    </row>
    <row r="250" ht="14.25" customHeight="1" spans="1:36" x14ac:dyDescent="0.25">
      <c r="A250" s="1"/>
      <c r="B250" s="1"/>
      <c r="C250" s="1"/>
      <c r="D250" s="1"/>
      <c r="E250" s="1"/>
      <c r="F250" s="1"/>
      <c r="G250" s="1"/>
      <c r="H250" s="1"/>
      <c r="I250" s="1"/>
      <c r="J250" s="1"/>
      <c r="K250" s="1"/>
      <c r="L250" s="1"/>
      <c r="M250" s="1"/>
      <c r="N250" s="1"/>
      <c r="O250" s="1"/>
      <c r="Q250" s="1"/>
      <c r="R250" s="2"/>
      <c r="S250" s="1"/>
      <c r="T250" s="1"/>
      <c r="V250" s="1"/>
      <c r="W250" s="1"/>
      <c r="AJ250" s="1"/>
    </row>
    <row r="251" ht="14.25" customHeight="1" spans="1:36" x14ac:dyDescent="0.25">
      <c r="A251" s="1"/>
      <c r="B251" s="1"/>
      <c r="C251" s="1"/>
      <c r="D251" s="1"/>
      <c r="E251" s="1"/>
      <c r="F251" s="1"/>
      <c r="G251" s="1"/>
      <c r="H251" s="1"/>
      <c r="I251" s="1"/>
      <c r="J251" s="1"/>
      <c r="K251" s="1"/>
      <c r="L251" s="1"/>
      <c r="M251" s="1"/>
      <c r="N251" s="1"/>
      <c r="O251" s="1"/>
      <c r="Q251" s="1"/>
      <c r="R251" s="2"/>
      <c r="S251" s="1"/>
      <c r="T251" s="1"/>
      <c r="V251" s="1"/>
      <c r="W251" s="1"/>
      <c r="AJ251" s="1"/>
    </row>
    <row r="252" ht="14.25" customHeight="1" spans="1:36" x14ac:dyDescent="0.25">
      <c r="A252" s="1"/>
      <c r="B252" s="1"/>
      <c r="C252" s="1"/>
      <c r="D252" s="1"/>
      <c r="E252" s="1"/>
      <c r="F252" s="1"/>
      <c r="G252" s="1"/>
      <c r="H252" s="1"/>
      <c r="I252" s="1"/>
      <c r="J252" s="1"/>
      <c r="K252" s="1"/>
      <c r="L252" s="1"/>
      <c r="M252" s="1"/>
      <c r="N252" s="1"/>
      <c r="O252" s="1"/>
      <c r="Q252" s="1"/>
      <c r="R252" s="2"/>
      <c r="S252" s="1"/>
      <c r="T252" s="1"/>
      <c r="V252" s="1"/>
      <c r="W252" s="1"/>
      <c r="AJ252" s="1"/>
    </row>
    <row r="253" ht="14.25" customHeight="1" spans="1:36" x14ac:dyDescent="0.25">
      <c r="A253" s="1"/>
      <c r="B253" s="1"/>
      <c r="C253" s="1"/>
      <c r="D253" s="1"/>
      <c r="E253" s="1"/>
      <c r="F253" s="1"/>
      <c r="G253" s="1"/>
      <c r="H253" s="1"/>
      <c r="I253" s="1"/>
      <c r="J253" s="1"/>
      <c r="K253" s="1"/>
      <c r="L253" s="1"/>
      <c r="M253" s="1"/>
      <c r="N253" s="1"/>
      <c r="O253" s="1"/>
      <c r="Q253" s="1"/>
      <c r="R253" s="2"/>
      <c r="S253" s="1"/>
      <c r="T253" s="1"/>
      <c r="V253" s="1"/>
      <c r="W253" s="1"/>
      <c r="AJ253" s="1"/>
    </row>
    <row r="254" ht="14.25" customHeight="1" spans="1:36" x14ac:dyDescent="0.25">
      <c r="A254" s="1"/>
      <c r="B254" s="1"/>
      <c r="C254" s="1"/>
      <c r="D254" s="1"/>
      <c r="E254" s="1"/>
      <c r="F254" s="1"/>
      <c r="G254" s="1"/>
      <c r="H254" s="1"/>
      <c r="I254" s="1"/>
      <c r="J254" s="1"/>
      <c r="K254" s="1"/>
      <c r="L254" s="1"/>
      <c r="M254" s="1"/>
      <c r="N254" s="1"/>
      <c r="O254" s="1"/>
      <c r="Q254" s="1"/>
      <c r="R254" s="2"/>
      <c r="S254" s="1"/>
      <c r="T254" s="1"/>
      <c r="V254" s="1"/>
      <c r="W254" s="1"/>
      <c r="AJ254" s="1"/>
    </row>
    <row r="255" ht="14.25" customHeight="1" spans="1:36" x14ac:dyDescent="0.25">
      <c r="A255" s="1"/>
      <c r="B255" s="1"/>
      <c r="C255" s="1"/>
      <c r="D255" s="1"/>
      <c r="E255" s="1"/>
      <c r="F255" s="1"/>
      <c r="G255" s="1"/>
      <c r="H255" s="1"/>
      <c r="I255" s="1"/>
      <c r="J255" s="1"/>
      <c r="K255" s="1"/>
      <c r="L255" s="1"/>
      <c r="M255" s="1"/>
      <c r="N255" s="1"/>
      <c r="O255" s="1"/>
      <c r="Q255" s="1"/>
      <c r="R255" s="2"/>
      <c r="S255" s="1"/>
      <c r="T255" s="1"/>
      <c r="V255" s="1"/>
      <c r="W255" s="1"/>
      <c r="AJ255" s="1"/>
    </row>
    <row r="256" ht="14.25" customHeight="1" spans="1:36" x14ac:dyDescent="0.25">
      <c r="A256" s="1"/>
      <c r="B256" s="1"/>
      <c r="C256" s="1"/>
      <c r="D256" s="1"/>
      <c r="E256" s="1"/>
      <c r="F256" s="1"/>
      <c r="G256" s="1"/>
      <c r="H256" s="1"/>
      <c r="I256" s="1"/>
      <c r="J256" s="1"/>
      <c r="K256" s="1"/>
      <c r="L256" s="1"/>
      <c r="M256" s="1"/>
      <c r="N256" s="1"/>
      <c r="O256" s="1"/>
      <c r="Q256" s="1"/>
      <c r="R256" s="2"/>
      <c r="S256" s="1"/>
      <c r="T256" s="1"/>
      <c r="V256" s="1"/>
      <c r="W256" s="1"/>
      <c r="AJ256" s="1"/>
    </row>
    <row r="257" ht="14.25" customHeight="1" spans="1:36" x14ac:dyDescent="0.25">
      <c r="A257" s="1"/>
      <c r="B257" s="1"/>
      <c r="C257" s="1"/>
      <c r="D257" s="1"/>
      <c r="E257" s="1"/>
      <c r="F257" s="1"/>
      <c r="G257" s="1"/>
      <c r="H257" s="1"/>
      <c r="I257" s="1"/>
      <c r="J257" s="1"/>
      <c r="K257" s="1"/>
      <c r="L257" s="1"/>
      <c r="M257" s="1"/>
      <c r="N257" s="1"/>
      <c r="O257" s="1"/>
      <c r="Q257" s="1"/>
      <c r="R257" s="2"/>
      <c r="S257" s="1"/>
      <c r="T257" s="1"/>
      <c r="V257" s="1"/>
      <c r="W257" s="1"/>
      <c r="AJ257" s="1"/>
    </row>
    <row r="258" ht="14.25" customHeight="1" spans="1:36" x14ac:dyDescent="0.25">
      <c r="A258" s="1"/>
      <c r="B258" s="1"/>
      <c r="C258" s="1"/>
      <c r="D258" s="1"/>
      <c r="E258" s="1"/>
      <c r="F258" s="1"/>
      <c r="G258" s="1"/>
      <c r="H258" s="1"/>
      <c r="I258" s="1"/>
      <c r="J258" s="1"/>
      <c r="K258" s="1"/>
      <c r="L258" s="1"/>
      <c r="M258" s="1"/>
      <c r="N258" s="1"/>
      <c r="O258" s="1"/>
      <c r="Q258" s="1"/>
      <c r="R258" s="2"/>
      <c r="S258" s="1"/>
      <c r="T258" s="1"/>
      <c r="V258" s="1"/>
      <c r="W258" s="1"/>
      <c r="AJ258" s="1"/>
    </row>
    <row r="259" ht="14.25" customHeight="1" spans="1:36" x14ac:dyDescent="0.25">
      <c r="A259" s="1"/>
      <c r="B259" s="1"/>
      <c r="C259" s="1"/>
      <c r="D259" s="1"/>
      <c r="E259" s="1"/>
      <c r="F259" s="1"/>
      <c r="G259" s="1"/>
      <c r="H259" s="1"/>
      <c r="I259" s="1"/>
      <c r="J259" s="1"/>
      <c r="K259" s="1"/>
      <c r="L259" s="1"/>
      <c r="M259" s="1"/>
      <c r="N259" s="1"/>
      <c r="O259" s="1"/>
      <c r="Q259" s="1"/>
      <c r="R259" s="2"/>
      <c r="S259" s="1"/>
      <c r="T259" s="1"/>
      <c r="V259" s="1"/>
      <c r="W259" s="1"/>
      <c r="AJ259" s="1"/>
    </row>
    <row r="260" ht="14.25" customHeight="1" spans="1:36" x14ac:dyDescent="0.25">
      <c r="A260" s="1"/>
      <c r="B260" s="1"/>
      <c r="C260" s="1"/>
      <c r="D260" s="1"/>
      <c r="E260" s="1"/>
      <c r="F260" s="1"/>
      <c r="G260" s="1"/>
      <c r="H260" s="1"/>
      <c r="I260" s="1"/>
      <c r="J260" s="1"/>
      <c r="K260" s="1"/>
      <c r="L260" s="1"/>
      <c r="M260" s="1"/>
      <c r="N260" s="1"/>
      <c r="O260" s="1"/>
      <c r="Q260" s="1"/>
      <c r="R260" s="2"/>
      <c r="S260" s="1"/>
      <c r="T260" s="1"/>
      <c r="V260" s="1"/>
      <c r="W260" s="1"/>
      <c r="AJ260" s="1"/>
    </row>
    <row r="261" ht="14.25" customHeight="1" spans="1:36" x14ac:dyDescent="0.25">
      <c r="A261" s="1"/>
      <c r="B261" s="1"/>
      <c r="C261" s="1"/>
      <c r="D261" s="1"/>
      <c r="E261" s="1"/>
      <c r="F261" s="1"/>
      <c r="G261" s="1"/>
      <c r="H261" s="1"/>
      <c r="I261" s="1"/>
      <c r="J261" s="1"/>
      <c r="K261" s="1"/>
      <c r="L261" s="1"/>
      <c r="M261" s="1"/>
      <c r="N261" s="1"/>
      <c r="O261" s="1"/>
      <c r="Q261" s="1"/>
      <c r="R261" s="2"/>
      <c r="S261" s="1"/>
      <c r="T261" s="1"/>
      <c r="V261" s="1"/>
      <c r="W261" s="1"/>
      <c r="AJ261" s="1"/>
    </row>
    <row r="262" ht="14.25" customHeight="1" spans="1:36" x14ac:dyDescent="0.25">
      <c r="A262" s="1"/>
      <c r="B262" s="1"/>
      <c r="C262" s="1"/>
      <c r="D262" s="1"/>
      <c r="E262" s="1"/>
      <c r="F262" s="1"/>
      <c r="G262" s="1"/>
      <c r="H262" s="1"/>
      <c r="I262" s="1"/>
      <c r="J262" s="1"/>
      <c r="K262" s="1"/>
      <c r="L262" s="1"/>
      <c r="M262" s="1"/>
      <c r="N262" s="1"/>
      <c r="O262" s="1"/>
      <c r="Q262" s="1"/>
      <c r="R262" s="2"/>
      <c r="S262" s="1"/>
      <c r="T262" s="1"/>
      <c r="V262" s="1"/>
      <c r="W262" s="1"/>
      <c r="AJ262" s="1"/>
    </row>
    <row r="263" ht="14.25" customHeight="1" spans="1:36" x14ac:dyDescent="0.25">
      <c r="A263" s="1"/>
      <c r="B263" s="1"/>
      <c r="C263" s="1"/>
      <c r="D263" s="1"/>
      <c r="E263" s="1"/>
      <c r="F263" s="1"/>
      <c r="G263" s="1"/>
      <c r="H263" s="1"/>
      <c r="I263" s="1"/>
      <c r="J263" s="1"/>
      <c r="K263" s="1"/>
      <c r="L263" s="1"/>
      <c r="M263" s="1"/>
      <c r="N263" s="1"/>
      <c r="O263" s="1"/>
      <c r="Q263" s="1"/>
      <c r="R263" s="2"/>
      <c r="S263" s="1"/>
      <c r="T263" s="1"/>
      <c r="V263" s="1"/>
      <c r="W263" s="1"/>
      <c r="AJ263" s="1"/>
    </row>
    <row r="264" ht="14.25" customHeight="1" spans="1:36" x14ac:dyDescent="0.25">
      <c r="A264" s="1"/>
      <c r="B264" s="1"/>
      <c r="C264" s="1"/>
      <c r="D264" s="1"/>
      <c r="E264" s="1"/>
      <c r="F264" s="1"/>
      <c r="G264" s="1"/>
      <c r="H264" s="1"/>
      <c r="I264" s="1"/>
      <c r="J264" s="1"/>
      <c r="K264" s="1"/>
      <c r="L264" s="1"/>
      <c r="M264" s="1"/>
      <c r="N264" s="1"/>
      <c r="O264" s="1"/>
      <c r="Q264" s="1"/>
      <c r="R264" s="2"/>
      <c r="S264" s="1"/>
      <c r="T264" s="1"/>
      <c r="V264" s="1"/>
      <c r="W264" s="1"/>
      <c r="AJ264" s="1"/>
    </row>
    <row r="265" ht="14.25" customHeight="1" spans="1:36" x14ac:dyDescent="0.25">
      <c r="A265" s="1"/>
      <c r="B265" s="1"/>
      <c r="C265" s="1"/>
      <c r="D265" s="1"/>
      <c r="E265" s="1"/>
      <c r="F265" s="1"/>
      <c r="G265" s="1"/>
      <c r="H265" s="1"/>
      <c r="I265" s="1"/>
      <c r="J265" s="1"/>
      <c r="K265" s="1"/>
      <c r="L265" s="1"/>
      <c r="M265" s="1"/>
      <c r="N265" s="1"/>
      <c r="O265" s="1"/>
      <c r="Q265" s="1"/>
      <c r="R265" s="2"/>
      <c r="S265" s="1"/>
      <c r="T265" s="1"/>
      <c r="V265" s="1"/>
      <c r="W265" s="1"/>
      <c r="AJ265" s="1"/>
    </row>
    <row r="266" ht="14.25" customHeight="1" spans="1:36" x14ac:dyDescent="0.25">
      <c r="A266" s="1"/>
      <c r="B266" s="1"/>
      <c r="C266" s="1"/>
      <c r="D266" s="1"/>
      <c r="E266" s="1"/>
      <c r="F266" s="1"/>
      <c r="G266" s="1"/>
      <c r="H266" s="1"/>
      <c r="I266" s="1"/>
      <c r="J266" s="1"/>
      <c r="K266" s="1"/>
      <c r="L266" s="1"/>
      <c r="M266" s="1"/>
      <c r="N266" s="1"/>
      <c r="O266" s="1"/>
      <c r="Q266" s="1"/>
      <c r="R266" s="2"/>
      <c r="S266" s="1"/>
      <c r="T266" s="1"/>
      <c r="V266" s="1"/>
      <c r="W266" s="1"/>
      <c r="AJ266" s="1"/>
    </row>
    <row r="267" ht="14.25" customHeight="1" spans="1:36" x14ac:dyDescent="0.25">
      <c r="A267" s="1"/>
      <c r="B267" s="1"/>
      <c r="C267" s="1"/>
      <c r="D267" s="1"/>
      <c r="E267" s="1"/>
      <c r="F267" s="1"/>
      <c r="G267" s="1"/>
      <c r="H267" s="1"/>
      <c r="I267" s="1"/>
      <c r="J267" s="1"/>
      <c r="K267" s="1"/>
      <c r="L267" s="1"/>
      <c r="M267" s="1"/>
      <c r="N267" s="1"/>
      <c r="O267" s="1"/>
      <c r="Q267" s="1"/>
      <c r="R267" s="2"/>
      <c r="S267" s="1"/>
      <c r="T267" s="1"/>
      <c r="V267" s="1"/>
      <c r="W267" s="1"/>
      <c r="AJ267" s="1"/>
    </row>
    <row r="268" ht="14.25" customHeight="1" spans="1:36" x14ac:dyDescent="0.25">
      <c r="A268" s="1"/>
      <c r="B268" s="1"/>
      <c r="C268" s="1"/>
      <c r="D268" s="1"/>
      <c r="E268" s="1"/>
      <c r="F268" s="1"/>
      <c r="G268" s="1"/>
      <c r="H268" s="1"/>
      <c r="I268" s="1"/>
      <c r="J268" s="1"/>
      <c r="K268" s="1"/>
      <c r="L268" s="1"/>
      <c r="M268" s="1"/>
      <c r="N268" s="1"/>
      <c r="O268" s="1"/>
      <c r="Q268" s="1"/>
      <c r="R268" s="2"/>
      <c r="S268" s="1"/>
      <c r="T268" s="1"/>
      <c r="V268" s="1"/>
      <c r="W268" s="1"/>
      <c r="AJ268" s="1"/>
    </row>
    <row r="269" ht="14.25" customHeight="1" spans="1:36" x14ac:dyDescent="0.25">
      <c r="A269" s="1"/>
      <c r="B269" s="1"/>
      <c r="C269" s="1"/>
      <c r="D269" s="1"/>
      <c r="E269" s="1"/>
      <c r="F269" s="1"/>
      <c r="G269" s="1"/>
      <c r="H269" s="1"/>
      <c r="I269" s="1"/>
      <c r="J269" s="1"/>
      <c r="K269" s="1"/>
      <c r="L269" s="1"/>
      <c r="M269" s="1"/>
      <c r="N269" s="1"/>
      <c r="O269" s="1"/>
      <c r="Q269" s="1"/>
      <c r="R269" s="2"/>
      <c r="S269" s="1"/>
      <c r="T269" s="1"/>
      <c r="V269" s="1"/>
      <c r="W269" s="1"/>
      <c r="AJ269" s="1"/>
    </row>
    <row r="270" ht="14.25" customHeight="1" spans="1:36" x14ac:dyDescent="0.25">
      <c r="A270" s="1"/>
      <c r="B270" s="1"/>
      <c r="C270" s="1"/>
      <c r="D270" s="1"/>
      <c r="E270" s="1"/>
      <c r="F270" s="1"/>
      <c r="G270" s="1"/>
      <c r="H270" s="1"/>
      <c r="I270" s="1"/>
      <c r="J270" s="1"/>
      <c r="K270" s="1"/>
      <c r="L270" s="1"/>
      <c r="M270" s="1"/>
      <c r="N270" s="1"/>
      <c r="O270" s="1"/>
      <c r="Q270" s="1"/>
      <c r="R270" s="2"/>
      <c r="S270" s="1"/>
      <c r="T270" s="1"/>
      <c r="V270" s="1"/>
      <c r="W270" s="1"/>
      <c r="AJ270" s="1"/>
    </row>
    <row r="271" ht="14.25" customHeight="1" spans="1:36" x14ac:dyDescent="0.25">
      <c r="A271" s="1"/>
      <c r="B271" s="1"/>
      <c r="C271" s="1"/>
      <c r="D271" s="1"/>
      <c r="E271" s="1"/>
      <c r="F271" s="1"/>
      <c r="G271" s="1"/>
      <c r="H271" s="1"/>
      <c r="I271" s="1"/>
      <c r="J271" s="1"/>
      <c r="K271" s="1"/>
      <c r="L271" s="1"/>
      <c r="M271" s="1"/>
      <c r="N271" s="1"/>
      <c r="O271" s="1"/>
      <c r="Q271" s="1"/>
      <c r="R271" s="2"/>
      <c r="S271" s="1"/>
      <c r="T271" s="1"/>
      <c r="V271" s="1"/>
      <c r="W271" s="1"/>
      <c r="AJ271" s="1"/>
    </row>
    <row r="272" ht="14.25" customHeight="1" spans="1:36" x14ac:dyDescent="0.25">
      <c r="A272" s="1"/>
      <c r="B272" s="1"/>
      <c r="C272" s="1"/>
      <c r="D272" s="1"/>
      <c r="E272" s="1"/>
      <c r="F272" s="1"/>
      <c r="G272" s="1"/>
      <c r="H272" s="1"/>
      <c r="I272" s="1"/>
      <c r="J272" s="1"/>
      <c r="K272" s="1"/>
      <c r="L272" s="1"/>
      <c r="M272" s="1"/>
      <c r="N272" s="1"/>
      <c r="O272" s="1"/>
      <c r="Q272" s="1"/>
      <c r="R272" s="2"/>
      <c r="S272" s="1"/>
      <c r="T272" s="1"/>
      <c r="V272" s="1"/>
      <c r="W272" s="1"/>
      <c r="AJ272" s="1"/>
    </row>
    <row r="273" ht="14.25" customHeight="1" spans="1:36" x14ac:dyDescent="0.25">
      <c r="A273" s="1"/>
      <c r="B273" s="1"/>
      <c r="C273" s="1"/>
      <c r="D273" s="1"/>
      <c r="E273" s="1"/>
      <c r="F273" s="1"/>
      <c r="G273" s="1"/>
      <c r="H273" s="1"/>
      <c r="I273" s="1"/>
      <c r="J273" s="1"/>
      <c r="K273" s="1"/>
      <c r="L273" s="1"/>
      <c r="M273" s="1"/>
      <c r="N273" s="1"/>
      <c r="O273" s="1"/>
      <c r="Q273" s="1"/>
      <c r="R273" s="2"/>
      <c r="S273" s="1"/>
      <c r="T273" s="1"/>
      <c r="V273" s="1"/>
      <c r="W273" s="1"/>
      <c r="AJ273" s="1"/>
    </row>
    <row r="274" ht="14.25" customHeight="1" spans="1:36" x14ac:dyDescent="0.25">
      <c r="A274" s="1"/>
      <c r="B274" s="1"/>
      <c r="C274" s="1"/>
      <c r="D274" s="1"/>
      <c r="E274" s="1"/>
      <c r="F274" s="1"/>
      <c r="G274" s="1"/>
      <c r="H274" s="1"/>
      <c r="I274" s="1"/>
      <c r="J274" s="1"/>
      <c r="K274" s="1"/>
      <c r="L274" s="1"/>
      <c r="M274" s="1"/>
      <c r="N274" s="1"/>
      <c r="O274" s="1"/>
      <c r="Q274" s="1"/>
      <c r="R274" s="2"/>
      <c r="S274" s="1"/>
      <c r="T274" s="1"/>
      <c r="V274" s="1"/>
      <c r="W274" s="1"/>
      <c r="AJ274" s="1"/>
    </row>
    <row r="275" ht="14.25" customHeight="1" spans="1:36" x14ac:dyDescent="0.25">
      <c r="A275" s="1"/>
      <c r="B275" s="1"/>
      <c r="C275" s="1"/>
      <c r="D275" s="1"/>
      <c r="E275" s="1"/>
      <c r="F275" s="1"/>
      <c r="G275" s="1"/>
      <c r="H275" s="1"/>
      <c r="I275" s="1"/>
      <c r="J275" s="1"/>
      <c r="K275" s="1"/>
      <c r="L275" s="1"/>
      <c r="M275" s="1"/>
      <c r="N275" s="1"/>
      <c r="O275" s="1"/>
      <c r="Q275" s="1"/>
      <c r="R275" s="2"/>
      <c r="S275" s="1"/>
      <c r="T275" s="1"/>
      <c r="V275" s="1"/>
      <c r="W275" s="1"/>
      <c r="AJ275" s="1"/>
    </row>
    <row r="276" ht="14.25" customHeight="1" spans="1:36" x14ac:dyDescent="0.25">
      <c r="A276" s="1"/>
      <c r="B276" s="1"/>
      <c r="C276" s="1"/>
      <c r="D276" s="1"/>
      <c r="E276" s="1"/>
      <c r="F276" s="1"/>
      <c r="G276" s="1"/>
      <c r="H276" s="1"/>
      <c r="I276" s="1"/>
      <c r="J276" s="1"/>
      <c r="K276" s="1"/>
      <c r="L276" s="1"/>
      <c r="M276" s="1"/>
      <c r="N276" s="1"/>
      <c r="O276" s="1"/>
      <c r="Q276" s="1"/>
      <c r="R276" s="2"/>
      <c r="S276" s="1"/>
      <c r="T276" s="1"/>
      <c r="V276" s="1"/>
      <c r="W276" s="1"/>
      <c r="AJ276" s="1"/>
    </row>
    <row r="277" ht="14.25" customHeight="1" spans="1:36" x14ac:dyDescent="0.25">
      <c r="A277" s="1"/>
      <c r="B277" s="1"/>
      <c r="C277" s="1"/>
      <c r="D277" s="1"/>
      <c r="E277" s="1"/>
      <c r="F277" s="1"/>
      <c r="G277" s="1"/>
      <c r="H277" s="1"/>
      <c r="I277" s="1"/>
      <c r="J277" s="1"/>
      <c r="K277" s="1"/>
      <c r="L277" s="1"/>
      <c r="M277" s="1"/>
      <c r="N277" s="1"/>
      <c r="O277" s="1"/>
      <c r="Q277" s="1"/>
      <c r="R277" s="2"/>
      <c r="S277" s="1"/>
      <c r="T277" s="1"/>
      <c r="V277" s="1"/>
      <c r="W277" s="1"/>
      <c r="AJ277" s="1"/>
    </row>
    <row r="278" ht="14.25" customHeight="1" spans="1:36" x14ac:dyDescent="0.25">
      <c r="A278" s="1"/>
      <c r="B278" s="1"/>
      <c r="C278" s="1"/>
      <c r="D278" s="1"/>
      <c r="E278" s="1"/>
      <c r="F278" s="1"/>
      <c r="G278" s="1"/>
      <c r="H278" s="1"/>
      <c r="I278" s="1"/>
      <c r="J278" s="1"/>
      <c r="K278" s="1"/>
      <c r="L278" s="1"/>
      <c r="M278" s="1"/>
      <c r="N278" s="1"/>
      <c r="O278" s="1"/>
      <c r="Q278" s="1"/>
      <c r="R278" s="2"/>
      <c r="S278" s="1"/>
      <c r="T278" s="1"/>
      <c r="V278" s="1"/>
      <c r="W278" s="1"/>
      <c r="AJ278" s="1"/>
    </row>
    <row r="279" ht="14.25" customHeight="1" spans="1:36" x14ac:dyDescent="0.25">
      <c r="A279" s="1"/>
      <c r="B279" s="1"/>
      <c r="C279" s="1"/>
      <c r="D279" s="1"/>
      <c r="E279" s="1"/>
      <c r="F279" s="1"/>
      <c r="G279" s="1"/>
      <c r="H279" s="1"/>
      <c r="I279" s="1"/>
      <c r="J279" s="1"/>
      <c r="K279" s="1"/>
      <c r="L279" s="1"/>
      <c r="M279" s="1"/>
      <c r="N279" s="1"/>
      <c r="O279" s="1"/>
      <c r="Q279" s="1"/>
      <c r="R279" s="2"/>
      <c r="S279" s="1"/>
      <c r="T279" s="1"/>
      <c r="V279" s="1"/>
      <c r="W279" s="1"/>
      <c r="AJ279" s="1"/>
    </row>
    <row r="280" ht="14.25" customHeight="1" spans="1:36" x14ac:dyDescent="0.25">
      <c r="A280" s="1"/>
      <c r="B280" s="1"/>
      <c r="C280" s="1"/>
      <c r="D280" s="1"/>
      <c r="E280" s="1"/>
      <c r="F280" s="1"/>
      <c r="G280" s="1"/>
      <c r="H280" s="1"/>
      <c r="I280" s="1"/>
      <c r="J280" s="1"/>
      <c r="K280" s="1"/>
      <c r="L280" s="1"/>
      <c r="M280" s="1"/>
      <c r="N280" s="1"/>
      <c r="O280" s="1"/>
      <c r="Q280" s="1"/>
      <c r="R280" s="2"/>
      <c r="S280" s="1"/>
      <c r="T280" s="1"/>
      <c r="V280" s="1"/>
      <c r="W280" s="1"/>
      <c r="AJ280" s="1"/>
    </row>
    <row r="281" ht="14.25" customHeight="1" spans="1:36" x14ac:dyDescent="0.25">
      <c r="A281" s="1"/>
      <c r="B281" s="1"/>
      <c r="C281" s="1"/>
      <c r="D281" s="1"/>
      <c r="E281" s="1"/>
      <c r="F281" s="1"/>
      <c r="G281" s="1"/>
      <c r="H281" s="1"/>
      <c r="I281" s="1"/>
      <c r="J281" s="1"/>
      <c r="K281" s="1"/>
      <c r="L281" s="1"/>
      <c r="M281" s="1"/>
      <c r="N281" s="1"/>
      <c r="O281" s="1"/>
      <c r="Q281" s="1"/>
      <c r="R281" s="2"/>
      <c r="S281" s="1"/>
      <c r="T281" s="1"/>
      <c r="V281" s="1"/>
      <c r="W281" s="1"/>
      <c r="AJ281" s="1"/>
    </row>
    <row r="282" ht="14.25" customHeight="1" spans="1:36" x14ac:dyDescent="0.25">
      <c r="A282" s="1"/>
      <c r="B282" s="1"/>
      <c r="C282" s="1"/>
      <c r="D282" s="1"/>
      <c r="E282" s="1"/>
      <c r="F282" s="1"/>
      <c r="G282" s="1"/>
      <c r="H282" s="1"/>
      <c r="I282" s="1"/>
      <c r="J282" s="1"/>
      <c r="K282" s="1"/>
      <c r="L282" s="1"/>
      <c r="M282" s="1"/>
      <c r="N282" s="1"/>
      <c r="O282" s="1"/>
      <c r="Q282" s="1"/>
      <c r="R282" s="2"/>
      <c r="S282" s="1"/>
      <c r="T282" s="1"/>
      <c r="V282" s="1"/>
      <c r="W282" s="1"/>
      <c r="AJ282" s="1"/>
    </row>
    <row r="283" ht="14.25" customHeight="1" spans="1:36" x14ac:dyDescent="0.25">
      <c r="A283" s="1"/>
      <c r="B283" s="1"/>
      <c r="C283" s="1"/>
      <c r="D283" s="1"/>
      <c r="E283" s="1"/>
      <c r="F283" s="1"/>
      <c r="G283" s="1"/>
      <c r="H283" s="1"/>
      <c r="I283" s="1"/>
      <c r="J283" s="1"/>
      <c r="K283" s="1"/>
      <c r="L283" s="1"/>
      <c r="M283" s="1"/>
      <c r="N283" s="1"/>
      <c r="O283" s="1"/>
      <c r="Q283" s="1"/>
      <c r="R283" s="2"/>
      <c r="S283" s="1"/>
      <c r="T283" s="1"/>
      <c r="V283" s="1"/>
      <c r="W283" s="1"/>
      <c r="AJ283" s="1"/>
    </row>
    <row r="284" ht="14.25" customHeight="1" spans="1:36" x14ac:dyDescent="0.25">
      <c r="A284" s="1"/>
      <c r="B284" s="1"/>
      <c r="C284" s="1"/>
      <c r="D284" s="1"/>
      <c r="E284" s="1"/>
      <c r="F284" s="1"/>
      <c r="G284" s="1"/>
      <c r="H284" s="1"/>
      <c r="I284" s="1"/>
      <c r="J284" s="1"/>
      <c r="K284" s="1"/>
      <c r="L284" s="1"/>
      <c r="M284" s="1"/>
      <c r="N284" s="1"/>
      <c r="O284" s="1"/>
      <c r="Q284" s="1"/>
      <c r="R284" s="2"/>
      <c r="S284" s="1"/>
      <c r="T284" s="1"/>
      <c r="V284" s="1"/>
      <c r="W284" s="1"/>
      <c r="AJ284" s="1"/>
    </row>
    <row r="285" ht="14.25" customHeight="1" spans="1:36" x14ac:dyDescent="0.25">
      <c r="A285" s="1"/>
      <c r="B285" s="1"/>
      <c r="C285" s="1"/>
      <c r="D285" s="1"/>
      <c r="E285" s="1"/>
      <c r="F285" s="1"/>
      <c r="G285" s="1"/>
      <c r="H285" s="1"/>
      <c r="I285" s="1"/>
      <c r="J285" s="1"/>
      <c r="K285" s="1"/>
      <c r="L285" s="1"/>
      <c r="M285" s="1"/>
      <c r="N285" s="1"/>
      <c r="O285" s="1"/>
      <c r="Q285" s="1"/>
      <c r="R285" s="2"/>
      <c r="S285" s="1"/>
      <c r="T285" s="1"/>
      <c r="V285" s="1"/>
      <c r="W285" s="1"/>
      <c r="AJ285" s="1"/>
    </row>
    <row r="286" ht="14.25" customHeight="1" spans="1:36" x14ac:dyDescent="0.25">
      <c r="A286" s="1"/>
      <c r="B286" s="1"/>
      <c r="C286" s="1"/>
      <c r="D286" s="1"/>
      <c r="E286" s="1"/>
      <c r="F286" s="1"/>
      <c r="G286" s="1"/>
      <c r="H286" s="1"/>
      <c r="I286" s="1"/>
      <c r="J286" s="1"/>
      <c r="K286" s="1"/>
      <c r="L286" s="1"/>
      <c r="M286" s="1"/>
      <c r="N286" s="1"/>
      <c r="O286" s="1"/>
      <c r="Q286" s="1"/>
      <c r="R286" s="2"/>
      <c r="S286" s="1"/>
      <c r="T286" s="1"/>
      <c r="V286" s="1"/>
      <c r="W286" s="1"/>
      <c r="AJ286" s="1"/>
    </row>
    <row r="287" ht="14.25" customHeight="1" spans="1:36" x14ac:dyDescent="0.25">
      <c r="A287" s="1"/>
      <c r="B287" s="1"/>
      <c r="C287" s="1"/>
      <c r="D287" s="1"/>
      <c r="E287" s="1"/>
      <c r="F287" s="1"/>
      <c r="G287" s="1"/>
      <c r="H287" s="1"/>
      <c r="I287" s="1"/>
      <c r="J287" s="1"/>
      <c r="K287" s="1"/>
      <c r="L287" s="1"/>
      <c r="M287" s="1"/>
      <c r="N287" s="1"/>
      <c r="O287" s="1"/>
      <c r="Q287" s="1"/>
      <c r="R287" s="2"/>
      <c r="S287" s="1"/>
      <c r="T287" s="1"/>
      <c r="V287" s="1"/>
      <c r="W287" s="1"/>
      <c r="AJ287" s="1"/>
    </row>
    <row r="288" ht="14.25" customHeight="1" spans="1:36" x14ac:dyDescent="0.25">
      <c r="A288" s="1"/>
      <c r="B288" s="1"/>
      <c r="C288" s="1"/>
      <c r="D288" s="1"/>
      <c r="E288" s="1"/>
      <c r="F288" s="1"/>
      <c r="G288" s="1"/>
      <c r="H288" s="1"/>
      <c r="I288" s="1"/>
      <c r="J288" s="1"/>
      <c r="K288" s="1"/>
      <c r="L288" s="1"/>
      <c r="M288" s="1"/>
      <c r="N288" s="1"/>
      <c r="O288" s="1"/>
      <c r="Q288" s="1"/>
      <c r="R288" s="2"/>
      <c r="S288" s="1"/>
      <c r="T288" s="1"/>
      <c r="V288" s="1"/>
      <c r="W288" s="1"/>
      <c r="AJ288" s="1"/>
    </row>
    <row r="289" ht="14.25" customHeight="1" spans="1:36" x14ac:dyDescent="0.25">
      <c r="A289" s="1"/>
      <c r="B289" s="1"/>
      <c r="C289" s="1"/>
      <c r="D289" s="1"/>
      <c r="E289" s="1"/>
      <c r="F289" s="1"/>
      <c r="G289" s="1"/>
      <c r="H289" s="1"/>
      <c r="I289" s="1"/>
      <c r="J289" s="1"/>
      <c r="K289" s="1"/>
      <c r="L289" s="1"/>
      <c r="M289" s="1"/>
      <c r="N289" s="1"/>
      <c r="O289" s="1"/>
      <c r="Q289" s="1"/>
      <c r="R289" s="2"/>
      <c r="S289" s="1"/>
      <c r="T289" s="1"/>
      <c r="V289" s="1"/>
      <c r="W289" s="1"/>
      <c r="AJ289" s="1"/>
    </row>
    <row r="290" ht="14.25" customHeight="1" spans="1:36" x14ac:dyDescent="0.25">
      <c r="A290" s="1"/>
      <c r="B290" s="1"/>
      <c r="C290" s="1"/>
      <c r="D290" s="1"/>
      <c r="E290" s="1"/>
      <c r="F290" s="1"/>
      <c r="G290" s="1"/>
      <c r="H290" s="1"/>
      <c r="I290" s="1"/>
      <c r="J290" s="1"/>
      <c r="K290" s="1"/>
      <c r="L290" s="1"/>
      <c r="M290" s="1"/>
      <c r="N290" s="1"/>
      <c r="O290" s="1"/>
      <c r="Q290" s="1"/>
      <c r="R290" s="2"/>
      <c r="S290" s="1"/>
      <c r="T290" s="1"/>
      <c r="V290" s="1"/>
      <c r="W290" s="1"/>
      <c r="AJ290" s="1"/>
    </row>
    <row r="291" ht="14.25" customHeight="1" spans="1:36" x14ac:dyDescent="0.25">
      <c r="A291" s="1"/>
      <c r="B291" s="1"/>
      <c r="C291" s="1"/>
      <c r="D291" s="1"/>
      <c r="E291" s="1"/>
      <c r="F291" s="1"/>
      <c r="G291" s="1"/>
      <c r="H291" s="1"/>
      <c r="I291" s="1"/>
      <c r="J291" s="1"/>
      <c r="K291" s="1"/>
      <c r="L291" s="1"/>
      <c r="M291" s="1"/>
      <c r="N291" s="1"/>
      <c r="O291" s="1"/>
      <c r="Q291" s="1"/>
      <c r="R291" s="2"/>
      <c r="S291" s="1"/>
      <c r="T291" s="1"/>
      <c r="V291" s="1"/>
      <c r="W291" s="1"/>
      <c r="AJ291" s="1"/>
    </row>
    <row r="292" ht="14.25" customHeight="1" spans="1:36" x14ac:dyDescent="0.25">
      <c r="A292" s="1"/>
      <c r="B292" s="1"/>
      <c r="C292" s="1"/>
      <c r="D292" s="1"/>
      <c r="E292" s="1"/>
      <c r="F292" s="1"/>
      <c r="G292" s="1"/>
      <c r="H292" s="1"/>
      <c r="I292" s="1"/>
      <c r="J292" s="1"/>
      <c r="K292" s="1"/>
      <c r="L292" s="1"/>
      <c r="M292" s="1"/>
      <c r="N292" s="1"/>
      <c r="O292" s="1"/>
      <c r="Q292" s="1"/>
      <c r="R292" s="2"/>
      <c r="S292" s="1"/>
      <c r="T292" s="1"/>
      <c r="V292" s="1"/>
      <c r="W292" s="1"/>
      <c r="AJ292" s="1"/>
    </row>
    <row r="293" ht="14.25" customHeight="1" spans="1:36" x14ac:dyDescent="0.25">
      <c r="A293" s="1"/>
      <c r="B293" s="1"/>
      <c r="C293" s="1"/>
      <c r="D293" s="1"/>
      <c r="E293" s="1"/>
      <c r="F293" s="1"/>
      <c r="G293" s="1"/>
      <c r="H293" s="1"/>
      <c r="I293" s="1"/>
      <c r="J293" s="1"/>
      <c r="K293" s="1"/>
      <c r="L293" s="1"/>
      <c r="M293" s="1"/>
      <c r="N293" s="1"/>
      <c r="O293" s="1"/>
      <c r="Q293" s="1"/>
      <c r="R293" s="2"/>
      <c r="S293" s="1"/>
      <c r="T293" s="1"/>
      <c r="V293" s="1"/>
      <c r="W293" s="1"/>
      <c r="AJ293" s="1"/>
    </row>
    <row r="294" ht="14.25" customHeight="1" spans="1:36" x14ac:dyDescent="0.25">
      <c r="A294" s="1"/>
      <c r="B294" s="1"/>
      <c r="C294" s="1"/>
      <c r="D294" s="1"/>
      <c r="E294" s="1"/>
      <c r="F294" s="1"/>
      <c r="G294" s="1"/>
      <c r="H294" s="1"/>
      <c r="I294" s="1"/>
      <c r="J294" s="1"/>
      <c r="K294" s="1"/>
      <c r="L294" s="1"/>
      <c r="M294" s="1"/>
      <c r="N294" s="1"/>
      <c r="O294" s="1"/>
      <c r="Q294" s="1"/>
      <c r="R294" s="2"/>
      <c r="S294" s="1"/>
      <c r="T294" s="1"/>
      <c r="V294" s="1"/>
      <c r="W294" s="1"/>
      <c r="AJ294" s="1"/>
    </row>
    <row r="295" ht="14.25" customHeight="1" spans="1:36" x14ac:dyDescent="0.25">
      <c r="A295" s="1"/>
      <c r="B295" s="1"/>
      <c r="C295" s="1"/>
      <c r="D295" s="1"/>
      <c r="E295" s="1"/>
      <c r="F295" s="1"/>
      <c r="G295" s="1"/>
      <c r="H295" s="1"/>
      <c r="I295" s="1"/>
      <c r="J295" s="1"/>
      <c r="K295" s="1"/>
      <c r="L295" s="1"/>
      <c r="M295" s="1"/>
      <c r="N295" s="1"/>
      <c r="O295" s="1"/>
      <c r="Q295" s="1"/>
      <c r="R295" s="2"/>
      <c r="S295" s="1"/>
      <c r="T295" s="1"/>
      <c r="V295" s="1"/>
      <c r="W295" s="1"/>
      <c r="AJ295" s="1"/>
    </row>
    <row r="296" ht="14.25" customHeight="1" spans="1:36" x14ac:dyDescent="0.25">
      <c r="A296" s="1"/>
      <c r="B296" s="1"/>
      <c r="C296" s="1"/>
      <c r="D296" s="1"/>
      <c r="E296" s="1"/>
      <c r="F296" s="1"/>
      <c r="G296" s="1"/>
      <c r="H296" s="1"/>
      <c r="I296" s="1"/>
      <c r="J296" s="1"/>
      <c r="K296" s="1"/>
      <c r="L296" s="1"/>
      <c r="M296" s="1"/>
      <c r="N296" s="1"/>
      <c r="O296" s="1"/>
      <c r="Q296" s="1"/>
      <c r="R296" s="2"/>
      <c r="S296" s="1"/>
      <c r="T296" s="1"/>
      <c r="V296" s="1"/>
      <c r="W296" s="1"/>
      <c r="AJ296" s="1"/>
    </row>
    <row r="297" ht="14.25" customHeight="1" spans="1:36" x14ac:dyDescent="0.25">
      <c r="A297" s="1"/>
      <c r="B297" s="1"/>
      <c r="C297" s="1"/>
      <c r="D297" s="1"/>
      <c r="E297" s="1"/>
      <c r="F297" s="1"/>
      <c r="G297" s="1"/>
      <c r="H297" s="1"/>
      <c r="I297" s="1"/>
      <c r="J297" s="1"/>
      <c r="K297" s="1"/>
      <c r="L297" s="1"/>
      <c r="M297" s="1"/>
      <c r="N297" s="1"/>
      <c r="O297" s="1"/>
      <c r="Q297" s="1"/>
      <c r="R297" s="2"/>
      <c r="S297" s="1"/>
      <c r="T297" s="1"/>
      <c r="V297" s="1"/>
      <c r="W297" s="1"/>
      <c r="AJ297" s="1"/>
    </row>
    <row r="298" ht="14.25" customHeight="1" spans="1:36" x14ac:dyDescent="0.25">
      <c r="A298" s="1"/>
      <c r="B298" s="1"/>
      <c r="C298" s="1"/>
      <c r="D298" s="1"/>
      <c r="E298" s="1"/>
      <c r="F298" s="1"/>
      <c r="G298" s="1"/>
      <c r="H298" s="1"/>
      <c r="I298" s="1"/>
      <c r="J298" s="1"/>
      <c r="K298" s="1"/>
      <c r="L298" s="1"/>
      <c r="M298" s="1"/>
      <c r="N298" s="1"/>
      <c r="O298" s="1"/>
      <c r="Q298" s="1"/>
      <c r="R298" s="2"/>
      <c r="S298" s="1"/>
      <c r="T298" s="1"/>
      <c r="V298" s="1"/>
      <c r="W298" s="1"/>
      <c r="AJ298" s="1"/>
    </row>
    <row r="299" ht="14.25" customHeight="1" spans="1:36" x14ac:dyDescent="0.25">
      <c r="A299" s="1"/>
      <c r="B299" s="1"/>
      <c r="C299" s="1"/>
      <c r="D299" s="1"/>
      <c r="E299" s="1"/>
      <c r="F299" s="1"/>
      <c r="G299" s="1"/>
      <c r="H299" s="1"/>
      <c r="I299" s="1"/>
      <c r="J299" s="1"/>
      <c r="K299" s="1"/>
      <c r="L299" s="1"/>
      <c r="M299" s="1"/>
      <c r="N299" s="1"/>
      <c r="O299" s="1"/>
      <c r="Q299" s="1"/>
      <c r="R299" s="2"/>
      <c r="S299" s="1"/>
      <c r="T299" s="1"/>
      <c r="V299" s="1"/>
      <c r="W299" s="1"/>
      <c r="AJ299" s="1"/>
    </row>
    <row r="300" ht="14.25" customHeight="1" spans="1:36" x14ac:dyDescent="0.25">
      <c r="A300" s="1"/>
      <c r="B300" s="1"/>
      <c r="C300" s="1"/>
      <c r="D300" s="1"/>
      <c r="E300" s="1"/>
      <c r="F300" s="1"/>
      <c r="G300" s="1"/>
      <c r="H300" s="1"/>
      <c r="I300" s="1"/>
      <c r="J300" s="1"/>
      <c r="K300" s="1"/>
      <c r="L300" s="1"/>
      <c r="M300" s="1"/>
      <c r="N300" s="1"/>
      <c r="O300" s="1"/>
      <c r="Q300" s="1"/>
      <c r="R300" s="2"/>
      <c r="S300" s="1"/>
      <c r="T300" s="1"/>
      <c r="V300" s="1"/>
      <c r="W300" s="1"/>
      <c r="AJ300" s="1"/>
    </row>
    <row r="301" ht="14.25" customHeight="1" spans="1:36" x14ac:dyDescent="0.25">
      <c r="A301" s="1"/>
      <c r="B301" s="1"/>
      <c r="C301" s="1"/>
      <c r="D301" s="1"/>
      <c r="E301" s="1"/>
      <c r="F301" s="1"/>
      <c r="G301" s="1"/>
      <c r="H301" s="1"/>
      <c r="I301" s="1"/>
      <c r="J301" s="1"/>
      <c r="K301" s="1"/>
      <c r="L301" s="1"/>
      <c r="M301" s="1"/>
      <c r="N301" s="1"/>
      <c r="O301" s="1"/>
      <c r="Q301" s="1"/>
      <c r="R301" s="2"/>
      <c r="S301" s="1"/>
      <c r="T301" s="1"/>
      <c r="V301" s="1"/>
      <c r="W301" s="1"/>
      <c r="AJ301" s="1"/>
    </row>
    <row r="302" ht="14.25" customHeight="1" spans="1:36" x14ac:dyDescent="0.25">
      <c r="A302" s="1"/>
      <c r="B302" s="1"/>
      <c r="C302" s="1"/>
      <c r="D302" s="1"/>
      <c r="E302" s="1"/>
      <c r="F302" s="1"/>
      <c r="G302" s="1"/>
      <c r="H302" s="1"/>
      <c r="I302" s="1"/>
      <c r="J302" s="1"/>
      <c r="K302" s="1"/>
      <c r="L302" s="1"/>
      <c r="M302" s="1"/>
      <c r="N302" s="1"/>
      <c r="O302" s="1"/>
      <c r="Q302" s="1"/>
      <c r="R302" s="2"/>
      <c r="S302" s="1"/>
      <c r="T302" s="1"/>
      <c r="V302" s="1"/>
      <c r="W302" s="1"/>
      <c r="AJ302" s="1"/>
    </row>
    <row r="303" ht="14.25" customHeight="1" spans="1:36" x14ac:dyDescent="0.25">
      <c r="A303" s="1"/>
      <c r="B303" s="1"/>
      <c r="C303" s="1"/>
      <c r="D303" s="1"/>
      <c r="E303" s="1"/>
      <c r="F303" s="1"/>
      <c r="G303" s="1"/>
      <c r="H303" s="1"/>
      <c r="I303" s="1"/>
      <c r="J303" s="1"/>
      <c r="K303" s="1"/>
      <c r="L303" s="1"/>
      <c r="M303" s="1"/>
      <c r="N303" s="1"/>
      <c r="O303" s="1"/>
      <c r="Q303" s="1"/>
      <c r="R303" s="2"/>
      <c r="S303" s="1"/>
      <c r="T303" s="1"/>
      <c r="V303" s="1"/>
      <c r="W303" s="1"/>
      <c r="AJ303" s="1"/>
    </row>
    <row r="304" ht="14.25" customHeight="1" spans="1:36" x14ac:dyDescent="0.25">
      <c r="A304" s="1"/>
      <c r="B304" s="1"/>
      <c r="C304" s="1"/>
      <c r="D304" s="1"/>
      <c r="E304" s="1"/>
      <c r="F304" s="1"/>
      <c r="G304" s="1"/>
      <c r="H304" s="1"/>
      <c r="I304" s="1"/>
      <c r="J304" s="1"/>
      <c r="K304" s="1"/>
      <c r="L304" s="1"/>
      <c r="M304" s="1"/>
      <c r="N304" s="1"/>
      <c r="O304" s="1"/>
      <c r="Q304" s="1"/>
      <c r="R304" s="2"/>
      <c r="S304" s="1"/>
      <c r="T304" s="1"/>
      <c r="V304" s="1"/>
      <c r="W304" s="1"/>
      <c r="AJ304" s="1"/>
    </row>
    <row r="305" ht="14.25" customHeight="1" spans="1:36" x14ac:dyDescent="0.25">
      <c r="A305" s="1"/>
      <c r="B305" s="1"/>
      <c r="C305" s="1"/>
      <c r="D305" s="1"/>
      <c r="E305" s="1"/>
      <c r="F305" s="1"/>
      <c r="G305" s="1"/>
      <c r="H305" s="1"/>
      <c r="I305" s="1"/>
      <c r="J305" s="1"/>
      <c r="K305" s="1"/>
      <c r="L305" s="1"/>
      <c r="M305" s="1"/>
      <c r="N305" s="1"/>
      <c r="O305" s="1"/>
      <c r="Q305" s="1"/>
      <c r="R305" s="2"/>
      <c r="S305" s="1"/>
      <c r="T305" s="1"/>
      <c r="V305" s="1"/>
      <c r="W305" s="1"/>
      <c r="AJ305" s="1"/>
    </row>
    <row r="306" ht="14.25" customHeight="1" spans="1:36" x14ac:dyDescent="0.25">
      <c r="A306" s="1"/>
      <c r="B306" s="1"/>
      <c r="C306" s="1"/>
      <c r="D306" s="1"/>
      <c r="E306" s="1"/>
      <c r="F306" s="1"/>
      <c r="G306" s="1"/>
      <c r="H306" s="1"/>
      <c r="I306" s="1"/>
      <c r="J306" s="1"/>
      <c r="K306" s="1"/>
      <c r="L306" s="1"/>
      <c r="M306" s="1"/>
      <c r="N306" s="1"/>
      <c r="O306" s="1"/>
      <c r="Q306" s="1"/>
      <c r="R306" s="2"/>
      <c r="S306" s="1"/>
      <c r="T306" s="1"/>
      <c r="V306" s="1"/>
      <c r="W306" s="1"/>
      <c r="AJ306" s="1"/>
    </row>
    <row r="307" ht="14.25" customHeight="1" spans="1:36" x14ac:dyDescent="0.25">
      <c r="A307" s="1"/>
      <c r="B307" s="1"/>
      <c r="C307" s="1"/>
      <c r="D307" s="1"/>
      <c r="E307" s="1"/>
      <c r="F307" s="1"/>
      <c r="G307" s="1"/>
      <c r="H307" s="1"/>
      <c r="I307" s="1"/>
      <c r="J307" s="1"/>
      <c r="K307" s="1"/>
      <c r="L307" s="1"/>
      <c r="M307" s="1"/>
      <c r="N307" s="1"/>
      <c r="O307" s="1"/>
      <c r="Q307" s="1"/>
      <c r="R307" s="2"/>
      <c r="S307" s="1"/>
      <c r="T307" s="1"/>
      <c r="V307" s="1"/>
      <c r="W307" s="1"/>
      <c r="AJ307" s="1"/>
    </row>
    <row r="308" ht="14.25" customHeight="1" spans="1:36" x14ac:dyDescent="0.25">
      <c r="A308" s="1"/>
      <c r="B308" s="1"/>
      <c r="C308" s="1"/>
      <c r="D308" s="1"/>
      <c r="E308" s="1"/>
      <c r="F308" s="1"/>
      <c r="G308" s="1"/>
      <c r="H308" s="1"/>
      <c r="I308" s="1"/>
      <c r="J308" s="1"/>
      <c r="K308" s="1"/>
      <c r="L308" s="1"/>
      <c r="M308" s="1"/>
      <c r="N308" s="1"/>
      <c r="O308" s="1"/>
      <c r="Q308" s="1"/>
      <c r="R308" s="2"/>
      <c r="S308" s="1"/>
      <c r="T308" s="1"/>
      <c r="V308" s="1"/>
      <c r="W308" s="1"/>
      <c r="AJ308" s="1"/>
    </row>
    <row r="309" ht="14.25" customHeight="1" spans="1:36" x14ac:dyDescent="0.25">
      <c r="A309" s="1"/>
      <c r="B309" s="1"/>
      <c r="C309" s="1"/>
      <c r="D309" s="1"/>
      <c r="E309" s="1"/>
      <c r="F309" s="1"/>
      <c r="G309" s="1"/>
      <c r="H309" s="1"/>
      <c r="I309" s="1"/>
      <c r="J309" s="1"/>
      <c r="K309" s="1"/>
      <c r="L309" s="1"/>
      <c r="M309" s="1"/>
      <c r="N309" s="1"/>
      <c r="O309" s="1"/>
      <c r="Q309" s="1"/>
      <c r="R309" s="2"/>
      <c r="S309" s="1"/>
      <c r="T309" s="1"/>
      <c r="V309" s="1"/>
      <c r="W309" s="1"/>
      <c r="AJ309" s="1"/>
    </row>
    <row r="310" ht="14.25" customHeight="1" spans="1:36" x14ac:dyDescent="0.25">
      <c r="A310" s="1"/>
      <c r="B310" s="1"/>
      <c r="C310" s="1"/>
      <c r="D310" s="1"/>
      <c r="E310" s="1"/>
      <c r="F310" s="1"/>
      <c r="G310" s="1"/>
      <c r="H310" s="1"/>
      <c r="I310" s="1"/>
      <c r="J310" s="1"/>
      <c r="K310" s="1"/>
      <c r="L310" s="1"/>
      <c r="M310" s="1"/>
      <c r="N310" s="1"/>
      <c r="O310" s="1"/>
      <c r="Q310" s="1"/>
      <c r="R310" s="2"/>
      <c r="S310" s="1"/>
      <c r="T310" s="1"/>
      <c r="V310" s="1"/>
      <c r="W310" s="1"/>
      <c r="AJ310" s="1"/>
    </row>
    <row r="311" ht="14.25" customHeight="1" spans="1:36" x14ac:dyDescent="0.25">
      <c r="A311" s="1"/>
      <c r="B311" s="1"/>
      <c r="C311" s="1"/>
      <c r="D311" s="1"/>
      <c r="E311" s="1"/>
      <c r="F311" s="1"/>
      <c r="G311" s="1"/>
      <c r="H311" s="1"/>
      <c r="I311" s="1"/>
      <c r="J311" s="1"/>
      <c r="K311" s="1"/>
      <c r="L311" s="1"/>
      <c r="M311" s="1"/>
      <c r="N311" s="1"/>
      <c r="O311" s="1"/>
      <c r="Q311" s="1"/>
      <c r="R311" s="2"/>
      <c r="S311" s="1"/>
      <c r="T311" s="1"/>
      <c r="V311" s="1"/>
      <c r="W311" s="1"/>
      <c r="AJ311" s="1"/>
    </row>
    <row r="312" ht="14.25" customHeight="1" spans="1:36" x14ac:dyDescent="0.25">
      <c r="A312" s="1"/>
      <c r="B312" s="1"/>
      <c r="C312" s="1"/>
      <c r="D312" s="1"/>
      <c r="E312" s="1"/>
      <c r="F312" s="1"/>
      <c r="G312" s="1"/>
      <c r="H312" s="1"/>
      <c r="I312" s="1"/>
      <c r="J312" s="1"/>
      <c r="K312" s="1"/>
      <c r="L312" s="1"/>
      <c r="M312" s="1"/>
      <c r="N312" s="1"/>
      <c r="O312" s="1"/>
      <c r="Q312" s="1"/>
      <c r="R312" s="2"/>
      <c r="S312" s="1"/>
      <c r="T312" s="1"/>
      <c r="V312" s="1"/>
      <c r="W312" s="1"/>
      <c r="AJ312" s="1"/>
    </row>
    <row r="313" ht="14.25" customHeight="1" spans="1:36" x14ac:dyDescent="0.25">
      <c r="A313" s="1"/>
      <c r="B313" s="1"/>
      <c r="C313" s="1"/>
      <c r="D313" s="1"/>
      <c r="E313" s="1"/>
      <c r="F313" s="1"/>
      <c r="G313" s="1"/>
      <c r="H313" s="1"/>
      <c r="I313" s="1"/>
      <c r="J313" s="1"/>
      <c r="K313" s="1"/>
      <c r="L313" s="1"/>
      <c r="M313" s="1"/>
      <c r="N313" s="1"/>
      <c r="O313" s="1"/>
      <c r="Q313" s="1"/>
      <c r="R313" s="2"/>
      <c r="S313" s="1"/>
      <c r="T313" s="1"/>
      <c r="V313" s="1"/>
      <c r="W313" s="1"/>
      <c r="AJ313" s="1"/>
    </row>
    <row r="314" ht="14.25" customHeight="1" spans="1:36" x14ac:dyDescent="0.25">
      <c r="A314" s="1"/>
      <c r="B314" s="1"/>
      <c r="C314" s="1"/>
      <c r="D314" s="1"/>
      <c r="E314" s="1"/>
      <c r="F314" s="1"/>
      <c r="G314" s="1"/>
      <c r="H314" s="1"/>
      <c r="I314" s="1"/>
      <c r="J314" s="1"/>
      <c r="K314" s="1"/>
      <c r="L314" s="1"/>
      <c r="M314" s="1"/>
      <c r="N314" s="1"/>
      <c r="O314" s="1"/>
      <c r="Q314" s="1"/>
      <c r="R314" s="2"/>
      <c r="S314" s="1"/>
      <c r="T314" s="1"/>
      <c r="V314" s="1"/>
      <c r="W314" s="1"/>
      <c r="AJ314" s="1"/>
    </row>
    <row r="315" ht="14.25" customHeight="1" spans="1:36" x14ac:dyDescent="0.25">
      <c r="A315" s="1"/>
      <c r="B315" s="1"/>
      <c r="C315" s="1"/>
      <c r="D315" s="1"/>
      <c r="E315" s="1"/>
      <c r="F315" s="1"/>
      <c r="G315" s="1"/>
      <c r="H315" s="1"/>
      <c r="I315" s="1"/>
      <c r="J315" s="1"/>
      <c r="K315" s="1"/>
      <c r="L315" s="1"/>
      <c r="M315" s="1"/>
      <c r="N315" s="1"/>
      <c r="O315" s="1"/>
      <c r="Q315" s="1"/>
      <c r="R315" s="2"/>
      <c r="S315" s="1"/>
      <c r="T315" s="1"/>
      <c r="V315" s="1"/>
      <c r="W315" s="1"/>
      <c r="AJ315" s="1"/>
    </row>
    <row r="316" ht="14.25" customHeight="1" spans="1:36" x14ac:dyDescent="0.25">
      <c r="A316" s="1"/>
      <c r="B316" s="1"/>
      <c r="C316" s="1"/>
      <c r="D316" s="1"/>
      <c r="E316" s="1"/>
      <c r="F316" s="1"/>
      <c r="G316" s="1"/>
      <c r="H316" s="1"/>
      <c r="I316" s="1"/>
      <c r="J316" s="1"/>
      <c r="K316" s="1"/>
      <c r="L316" s="1"/>
      <c r="M316" s="1"/>
      <c r="N316" s="1"/>
      <c r="O316" s="1"/>
      <c r="Q316" s="1"/>
      <c r="R316" s="2"/>
      <c r="S316" s="1"/>
      <c r="T316" s="1"/>
      <c r="V316" s="1"/>
      <c r="W316" s="1"/>
      <c r="AJ316" s="1"/>
    </row>
    <row r="317" ht="14.25" customHeight="1" spans="1:36" x14ac:dyDescent="0.25">
      <c r="A317" s="1"/>
      <c r="B317" s="1"/>
      <c r="C317" s="1"/>
      <c r="D317" s="1"/>
      <c r="E317" s="1"/>
      <c r="F317" s="1"/>
      <c r="G317" s="1"/>
      <c r="H317" s="1"/>
      <c r="I317" s="1"/>
      <c r="J317" s="1"/>
      <c r="K317" s="1"/>
      <c r="L317" s="1"/>
      <c r="M317" s="1"/>
      <c r="N317" s="1"/>
      <c r="O317" s="1"/>
      <c r="Q317" s="1"/>
      <c r="R317" s="2"/>
      <c r="S317" s="1"/>
      <c r="T317" s="1"/>
      <c r="V317" s="1"/>
      <c r="W317" s="1"/>
      <c r="AJ317" s="1"/>
    </row>
    <row r="318" ht="14.25" customHeight="1" spans="1:36" x14ac:dyDescent="0.25">
      <c r="A318" s="1"/>
      <c r="B318" s="1"/>
      <c r="C318" s="1"/>
      <c r="D318" s="1"/>
      <c r="E318" s="1"/>
      <c r="F318" s="1"/>
      <c r="G318" s="1"/>
      <c r="H318" s="1"/>
      <c r="I318" s="1"/>
      <c r="J318" s="1"/>
      <c r="K318" s="1"/>
      <c r="L318" s="1"/>
      <c r="M318" s="1"/>
      <c r="N318" s="1"/>
      <c r="O318" s="1"/>
      <c r="Q318" s="1"/>
      <c r="R318" s="2"/>
      <c r="S318" s="1"/>
      <c r="T318" s="1"/>
      <c r="V318" s="1"/>
      <c r="W318" s="1"/>
      <c r="AJ318" s="1"/>
    </row>
    <row r="319" ht="14.25" customHeight="1" spans="1:36" x14ac:dyDescent="0.25">
      <c r="A319" s="1"/>
      <c r="B319" s="1"/>
      <c r="C319" s="1"/>
      <c r="D319" s="1"/>
      <c r="E319" s="1"/>
      <c r="F319" s="1"/>
      <c r="G319" s="1"/>
      <c r="H319" s="1"/>
      <c r="I319" s="1"/>
      <c r="J319" s="1"/>
      <c r="K319" s="1"/>
      <c r="L319" s="1"/>
      <c r="M319" s="1"/>
      <c r="N319" s="1"/>
      <c r="O319" s="1"/>
      <c r="Q319" s="1"/>
      <c r="R319" s="2"/>
      <c r="S319" s="1"/>
      <c r="T319" s="1"/>
      <c r="V319" s="1"/>
      <c r="W319" s="1"/>
      <c r="AJ319" s="1"/>
    </row>
    <row r="320" ht="14.25" customHeight="1" spans="1:36" x14ac:dyDescent="0.25">
      <c r="A320" s="1"/>
      <c r="B320" s="1"/>
      <c r="C320" s="1"/>
      <c r="D320" s="1"/>
      <c r="E320" s="1"/>
      <c r="F320" s="1"/>
      <c r="G320" s="1"/>
      <c r="H320" s="1"/>
      <c r="I320" s="1"/>
      <c r="J320" s="1"/>
      <c r="K320" s="1"/>
      <c r="L320" s="1"/>
      <c r="M320" s="1"/>
      <c r="N320" s="1"/>
      <c r="O320" s="1"/>
      <c r="Q320" s="1"/>
      <c r="R320" s="2"/>
      <c r="S320" s="1"/>
      <c r="T320" s="1"/>
      <c r="V320" s="1"/>
      <c r="W320" s="1"/>
      <c r="AJ320" s="1"/>
    </row>
    <row r="321" ht="14.25" customHeight="1" spans="1:36" x14ac:dyDescent="0.25">
      <c r="A321" s="1"/>
      <c r="B321" s="1"/>
      <c r="C321" s="1"/>
      <c r="D321" s="1"/>
      <c r="E321" s="1"/>
      <c r="F321" s="1"/>
      <c r="G321" s="1"/>
      <c r="H321" s="1"/>
      <c r="I321" s="1"/>
      <c r="J321" s="1"/>
      <c r="K321" s="1"/>
      <c r="L321" s="1"/>
      <c r="M321" s="1"/>
      <c r="N321" s="1"/>
      <c r="O321" s="1"/>
      <c r="Q321" s="1"/>
      <c r="R321" s="2"/>
      <c r="S321" s="1"/>
      <c r="T321" s="1"/>
      <c r="V321" s="1"/>
      <c r="W321" s="1"/>
      <c r="AJ321" s="1"/>
    </row>
    <row r="322" ht="14.25" customHeight="1" spans="1:36" x14ac:dyDescent="0.25">
      <c r="A322" s="1"/>
      <c r="B322" s="1"/>
      <c r="C322" s="1"/>
      <c r="D322" s="1"/>
      <c r="E322" s="1"/>
      <c r="F322" s="1"/>
      <c r="G322" s="1"/>
      <c r="H322" s="1"/>
      <c r="I322" s="1"/>
      <c r="J322" s="1"/>
      <c r="K322" s="1"/>
      <c r="L322" s="1"/>
      <c r="M322" s="1"/>
      <c r="N322" s="1"/>
      <c r="O322" s="1"/>
      <c r="Q322" s="1"/>
      <c r="R322" s="2"/>
      <c r="S322" s="1"/>
      <c r="T322" s="1"/>
      <c r="V322" s="1"/>
      <c r="W322" s="1"/>
      <c r="AJ322" s="1"/>
    </row>
    <row r="323" ht="14.25" customHeight="1" spans="1:36" x14ac:dyDescent="0.25">
      <c r="A323" s="1"/>
      <c r="B323" s="1"/>
      <c r="C323" s="1"/>
      <c r="D323" s="1"/>
      <c r="E323" s="1"/>
      <c r="F323" s="1"/>
      <c r="G323" s="1"/>
      <c r="H323" s="1"/>
      <c r="I323" s="1"/>
      <c r="J323" s="1"/>
      <c r="K323" s="1"/>
      <c r="L323" s="1"/>
      <c r="M323" s="1"/>
      <c r="N323" s="1"/>
      <c r="O323" s="1"/>
      <c r="Q323" s="1"/>
      <c r="R323" s="2"/>
      <c r="S323" s="1"/>
      <c r="T323" s="1"/>
      <c r="V323" s="1"/>
      <c r="W323" s="1"/>
      <c r="AJ323" s="1"/>
    </row>
    <row r="324" ht="14.25" customHeight="1" spans="1:36" x14ac:dyDescent="0.25">
      <c r="A324" s="1"/>
      <c r="B324" s="1"/>
      <c r="C324" s="1"/>
      <c r="D324" s="1"/>
      <c r="E324" s="1"/>
      <c r="F324" s="1"/>
      <c r="G324" s="1"/>
      <c r="H324" s="1"/>
      <c r="I324" s="1"/>
      <c r="J324" s="1"/>
      <c r="K324" s="1"/>
      <c r="L324" s="1"/>
      <c r="M324" s="1"/>
      <c r="N324" s="1"/>
      <c r="O324" s="1"/>
      <c r="Q324" s="1"/>
      <c r="R324" s="2"/>
      <c r="S324" s="1"/>
      <c r="T324" s="1"/>
      <c r="V324" s="1"/>
      <c r="W324" s="1"/>
      <c r="AJ324" s="1"/>
    </row>
    <row r="325" ht="14.25" customHeight="1" spans="1:36" x14ac:dyDescent="0.25">
      <c r="A325" s="1"/>
      <c r="B325" s="1"/>
      <c r="C325" s="1"/>
      <c r="D325" s="1"/>
      <c r="E325" s="1"/>
      <c r="F325" s="1"/>
      <c r="G325" s="1"/>
      <c r="H325" s="1"/>
      <c r="I325" s="1"/>
      <c r="J325" s="1"/>
      <c r="K325" s="1"/>
      <c r="L325" s="1"/>
      <c r="M325" s="1"/>
      <c r="N325" s="1"/>
      <c r="O325" s="1"/>
      <c r="Q325" s="1"/>
      <c r="R325" s="2"/>
      <c r="S325" s="1"/>
      <c r="T325" s="1"/>
      <c r="V325" s="1"/>
      <c r="W325" s="1"/>
      <c r="AJ325" s="1"/>
    </row>
    <row r="326" ht="14.25" customHeight="1" spans="1:36" x14ac:dyDescent="0.25">
      <c r="A326" s="1"/>
      <c r="B326" s="1"/>
      <c r="C326" s="1"/>
      <c r="D326" s="1"/>
      <c r="E326" s="1"/>
      <c r="F326" s="1"/>
      <c r="G326" s="1"/>
      <c r="H326" s="1"/>
      <c r="I326" s="1"/>
      <c r="J326" s="1"/>
      <c r="K326" s="1"/>
      <c r="L326" s="1"/>
      <c r="M326" s="1"/>
      <c r="N326" s="1"/>
      <c r="O326" s="1"/>
      <c r="Q326" s="1"/>
      <c r="R326" s="2"/>
      <c r="S326" s="1"/>
      <c r="T326" s="1"/>
      <c r="V326" s="1"/>
      <c r="W326" s="1"/>
      <c r="AJ326" s="1"/>
    </row>
    <row r="327" ht="14.25" customHeight="1" spans="1:36" x14ac:dyDescent="0.25">
      <c r="A327" s="1"/>
      <c r="B327" s="1"/>
      <c r="C327" s="1"/>
      <c r="D327" s="1"/>
      <c r="E327" s="1"/>
      <c r="F327" s="1"/>
      <c r="G327" s="1"/>
      <c r="H327" s="1"/>
      <c r="I327" s="1"/>
      <c r="J327" s="1"/>
      <c r="K327" s="1"/>
      <c r="L327" s="1"/>
      <c r="M327" s="1"/>
      <c r="N327" s="1"/>
      <c r="O327" s="1"/>
      <c r="Q327" s="1"/>
      <c r="R327" s="2"/>
      <c r="S327" s="1"/>
      <c r="T327" s="1"/>
      <c r="V327" s="1"/>
      <c r="W327" s="1"/>
      <c r="AJ327" s="1"/>
    </row>
    <row r="328" ht="14.25" customHeight="1" spans="1:36" x14ac:dyDescent="0.25">
      <c r="A328" s="1"/>
      <c r="B328" s="1"/>
      <c r="C328" s="1"/>
      <c r="D328" s="1"/>
      <c r="E328" s="1"/>
      <c r="F328" s="1"/>
      <c r="G328" s="1"/>
      <c r="H328" s="1"/>
      <c r="I328" s="1"/>
      <c r="J328" s="1"/>
      <c r="K328" s="1"/>
      <c r="L328" s="1"/>
      <c r="M328" s="1"/>
      <c r="N328" s="1"/>
      <c r="O328" s="1"/>
      <c r="Q328" s="1"/>
      <c r="R328" s="2"/>
      <c r="S328" s="1"/>
      <c r="T328" s="1"/>
      <c r="V328" s="1"/>
      <c r="W328" s="1"/>
      <c r="AJ328" s="1"/>
    </row>
    <row r="329" ht="14.25" customHeight="1" spans="1:36" x14ac:dyDescent="0.25">
      <c r="A329" s="1"/>
      <c r="B329" s="1"/>
      <c r="C329" s="1"/>
      <c r="D329" s="1"/>
      <c r="E329" s="1"/>
      <c r="F329" s="1"/>
      <c r="G329" s="1"/>
      <c r="H329" s="1"/>
      <c r="I329" s="1"/>
      <c r="J329" s="1"/>
      <c r="K329" s="1"/>
      <c r="L329" s="1"/>
      <c r="M329" s="1"/>
      <c r="N329" s="1"/>
      <c r="O329" s="1"/>
      <c r="Q329" s="1"/>
      <c r="R329" s="2"/>
      <c r="S329" s="1"/>
      <c r="T329" s="1"/>
      <c r="V329" s="1"/>
      <c r="W329" s="1"/>
      <c r="AJ329" s="1"/>
    </row>
    <row r="330" ht="14.25" customHeight="1" spans="1:36" x14ac:dyDescent="0.25">
      <c r="A330" s="1"/>
      <c r="B330" s="1"/>
      <c r="C330" s="1"/>
      <c r="D330" s="1"/>
      <c r="E330" s="1"/>
      <c r="F330" s="1"/>
      <c r="G330" s="1"/>
      <c r="H330" s="1"/>
      <c r="I330" s="1"/>
      <c r="J330" s="1"/>
      <c r="K330" s="1"/>
      <c r="L330" s="1"/>
      <c r="M330" s="1"/>
      <c r="N330" s="1"/>
      <c r="O330" s="1"/>
      <c r="Q330" s="1"/>
      <c r="R330" s="2"/>
      <c r="S330" s="1"/>
      <c r="T330" s="1"/>
      <c r="V330" s="1"/>
      <c r="W330" s="1"/>
      <c r="AJ330" s="1"/>
    </row>
    <row r="331" ht="14.25" customHeight="1" spans="1:36" x14ac:dyDescent="0.25">
      <c r="A331" s="1"/>
      <c r="B331" s="1"/>
      <c r="C331" s="1"/>
      <c r="D331" s="1"/>
      <c r="E331" s="1"/>
      <c r="F331" s="1"/>
      <c r="G331" s="1"/>
      <c r="H331" s="1"/>
      <c r="I331" s="1"/>
      <c r="J331" s="1"/>
      <c r="K331" s="1"/>
      <c r="L331" s="1"/>
      <c r="M331" s="1"/>
      <c r="N331" s="1"/>
      <c r="O331" s="1"/>
      <c r="Q331" s="1"/>
      <c r="R331" s="2"/>
      <c r="S331" s="1"/>
      <c r="T331" s="1"/>
      <c r="V331" s="1"/>
      <c r="W331" s="1"/>
      <c r="AJ331" s="1"/>
    </row>
    <row r="332" ht="14.25" customHeight="1" spans="1:36" x14ac:dyDescent="0.25">
      <c r="A332" s="1"/>
      <c r="B332" s="1"/>
      <c r="C332" s="1"/>
      <c r="D332" s="1"/>
      <c r="E332" s="1"/>
      <c r="F332" s="1"/>
      <c r="G332" s="1"/>
      <c r="H332" s="1"/>
      <c r="I332" s="1"/>
      <c r="J332" s="1"/>
      <c r="K332" s="1"/>
      <c r="L332" s="1"/>
      <c r="M332" s="1"/>
      <c r="N332" s="1"/>
      <c r="O332" s="1"/>
      <c r="Q332" s="1"/>
      <c r="R332" s="2"/>
      <c r="S332" s="1"/>
      <c r="T332" s="1"/>
      <c r="V332" s="1"/>
      <c r="W332" s="1"/>
      <c r="AJ332" s="1"/>
    </row>
    <row r="333" ht="14.25" customHeight="1" spans="1:36" x14ac:dyDescent="0.25">
      <c r="A333" s="1"/>
      <c r="B333" s="1"/>
      <c r="C333" s="1"/>
      <c r="D333" s="1"/>
      <c r="E333" s="1"/>
      <c r="F333" s="1"/>
      <c r="G333" s="1"/>
      <c r="H333" s="1"/>
      <c r="I333" s="1"/>
      <c r="J333" s="1"/>
      <c r="K333" s="1"/>
      <c r="L333" s="1"/>
      <c r="M333" s="1"/>
      <c r="N333" s="1"/>
      <c r="O333" s="1"/>
      <c r="Q333" s="1"/>
      <c r="R333" s="2"/>
      <c r="S333" s="1"/>
      <c r="T333" s="1"/>
      <c r="V333" s="1"/>
      <c r="W333" s="1"/>
      <c r="AJ333" s="1"/>
    </row>
    <row r="334" ht="14.25" customHeight="1" spans="1:36" x14ac:dyDescent="0.25">
      <c r="A334" s="1"/>
      <c r="B334" s="1"/>
      <c r="C334" s="1"/>
      <c r="D334" s="1"/>
      <c r="E334" s="1"/>
      <c r="F334" s="1"/>
      <c r="G334" s="1"/>
      <c r="H334" s="1"/>
      <c r="I334" s="1"/>
      <c r="J334" s="1"/>
      <c r="K334" s="1"/>
      <c r="L334" s="1"/>
      <c r="M334" s="1"/>
      <c r="N334" s="1"/>
      <c r="O334" s="1"/>
      <c r="Q334" s="1"/>
      <c r="R334" s="2"/>
      <c r="S334" s="1"/>
      <c r="T334" s="1"/>
      <c r="V334" s="1"/>
      <c r="W334" s="1"/>
      <c r="AJ334" s="1"/>
    </row>
    <row r="335" ht="14.25" customHeight="1" spans="1:36" x14ac:dyDescent="0.25">
      <c r="A335" s="1"/>
      <c r="B335" s="1"/>
      <c r="C335" s="1"/>
      <c r="D335" s="1"/>
      <c r="E335" s="1"/>
      <c r="F335" s="1"/>
      <c r="G335" s="1"/>
      <c r="H335" s="1"/>
      <c r="I335" s="1"/>
      <c r="J335" s="1"/>
      <c r="K335" s="1"/>
      <c r="L335" s="1"/>
      <c r="M335" s="1"/>
      <c r="N335" s="1"/>
      <c r="O335" s="1"/>
      <c r="Q335" s="1"/>
      <c r="R335" s="2"/>
      <c r="S335" s="1"/>
      <c r="T335" s="1"/>
      <c r="V335" s="1"/>
      <c r="W335" s="1"/>
      <c r="AJ335" s="1"/>
    </row>
    <row r="336" ht="14.25" customHeight="1" spans="1:36" x14ac:dyDescent="0.25">
      <c r="A336" s="1"/>
      <c r="B336" s="1"/>
      <c r="C336" s="1"/>
      <c r="D336" s="1"/>
      <c r="E336" s="1"/>
      <c r="F336" s="1"/>
      <c r="G336" s="1"/>
      <c r="H336" s="1"/>
      <c r="I336" s="1"/>
      <c r="J336" s="1"/>
      <c r="K336" s="1"/>
      <c r="L336" s="1"/>
      <c r="M336" s="1"/>
      <c r="N336" s="1"/>
      <c r="O336" s="1"/>
      <c r="Q336" s="1"/>
      <c r="R336" s="2"/>
      <c r="S336" s="1"/>
      <c r="T336" s="1"/>
      <c r="V336" s="1"/>
      <c r="W336" s="1"/>
      <c r="AJ336" s="1"/>
    </row>
    <row r="337" ht="14.25" customHeight="1" spans="1:36" x14ac:dyDescent="0.25">
      <c r="A337" s="1"/>
      <c r="B337" s="1"/>
      <c r="C337" s="1"/>
      <c r="D337" s="1"/>
      <c r="E337" s="1"/>
      <c r="F337" s="1"/>
      <c r="G337" s="1"/>
      <c r="H337" s="1"/>
      <c r="I337" s="1"/>
      <c r="J337" s="1"/>
      <c r="K337" s="1"/>
      <c r="L337" s="1"/>
      <c r="M337" s="1"/>
      <c r="N337" s="1"/>
      <c r="O337" s="1"/>
      <c r="Q337" s="1"/>
      <c r="R337" s="2"/>
      <c r="S337" s="1"/>
      <c r="T337" s="1"/>
      <c r="V337" s="1"/>
      <c r="W337" s="1"/>
      <c r="AJ337" s="1"/>
    </row>
    <row r="338" ht="14.25" customHeight="1" spans="1:36" x14ac:dyDescent="0.25">
      <c r="A338" s="1"/>
      <c r="B338" s="1"/>
      <c r="C338" s="1"/>
      <c r="D338" s="1"/>
      <c r="E338" s="1"/>
      <c r="F338" s="1"/>
      <c r="G338" s="1"/>
      <c r="H338" s="1"/>
      <c r="I338" s="1"/>
      <c r="J338" s="1"/>
      <c r="K338" s="1"/>
      <c r="L338" s="1"/>
      <c r="M338" s="1"/>
      <c r="N338" s="1"/>
      <c r="O338" s="1"/>
      <c r="Q338" s="1"/>
      <c r="R338" s="2"/>
      <c r="S338" s="1"/>
      <c r="T338" s="1"/>
      <c r="V338" s="1"/>
      <c r="W338" s="1"/>
      <c r="AJ338" s="1"/>
    </row>
    <row r="339" ht="14.25" customHeight="1" spans="1:36" x14ac:dyDescent="0.25">
      <c r="A339" s="1"/>
      <c r="B339" s="1"/>
      <c r="C339" s="1"/>
      <c r="D339" s="1"/>
      <c r="E339" s="1"/>
      <c r="F339" s="1"/>
      <c r="G339" s="1"/>
      <c r="H339" s="1"/>
      <c r="I339" s="1"/>
      <c r="J339" s="1"/>
      <c r="K339" s="1"/>
      <c r="L339" s="1"/>
      <c r="M339" s="1"/>
      <c r="N339" s="1"/>
      <c r="O339" s="1"/>
      <c r="Q339" s="1"/>
      <c r="R339" s="2"/>
      <c r="S339" s="1"/>
      <c r="T339" s="1"/>
      <c r="V339" s="1"/>
      <c r="W339" s="1"/>
      <c r="AJ339" s="1"/>
    </row>
    <row r="340" ht="14.25" customHeight="1" spans="1:36" x14ac:dyDescent="0.25">
      <c r="A340" s="1"/>
      <c r="B340" s="1"/>
      <c r="C340" s="1"/>
      <c r="D340" s="1"/>
      <c r="E340" s="1"/>
      <c r="F340" s="1"/>
      <c r="G340" s="1"/>
      <c r="H340" s="1"/>
      <c r="I340" s="1"/>
      <c r="J340" s="1"/>
      <c r="K340" s="1"/>
      <c r="L340" s="1"/>
      <c r="M340" s="1"/>
      <c r="N340" s="1"/>
      <c r="O340" s="1"/>
      <c r="Q340" s="1"/>
      <c r="R340" s="2"/>
      <c r="S340" s="1"/>
      <c r="T340" s="1"/>
      <c r="V340" s="1"/>
      <c r="W340" s="1"/>
      <c r="AJ340" s="1"/>
    </row>
    <row r="341" ht="14.25" customHeight="1" spans="1:36" x14ac:dyDescent="0.25">
      <c r="A341" s="1"/>
      <c r="B341" s="1"/>
      <c r="C341" s="1"/>
      <c r="D341" s="1"/>
      <c r="E341" s="1"/>
      <c r="F341" s="1"/>
      <c r="G341" s="1"/>
      <c r="H341" s="1"/>
      <c r="I341" s="1"/>
      <c r="J341" s="1"/>
      <c r="K341" s="1"/>
      <c r="L341" s="1"/>
      <c r="M341" s="1"/>
      <c r="N341" s="1"/>
      <c r="O341" s="1"/>
      <c r="Q341" s="1"/>
      <c r="R341" s="2"/>
      <c r="S341" s="1"/>
      <c r="T341" s="1"/>
      <c r="V341" s="1"/>
      <c r="W341" s="1"/>
      <c r="AJ341" s="1"/>
    </row>
    <row r="342" ht="14.25" customHeight="1" spans="1:36" x14ac:dyDescent="0.25">
      <c r="A342" s="1"/>
      <c r="B342" s="1"/>
      <c r="C342" s="1"/>
      <c r="D342" s="1"/>
      <c r="E342" s="1"/>
      <c r="F342" s="1"/>
      <c r="G342" s="1"/>
      <c r="H342" s="1"/>
      <c r="I342" s="1"/>
      <c r="J342" s="1"/>
      <c r="K342" s="1"/>
      <c r="L342" s="1"/>
      <c r="M342" s="1"/>
      <c r="N342" s="1"/>
      <c r="O342" s="1"/>
      <c r="Q342" s="1"/>
      <c r="R342" s="2"/>
      <c r="S342" s="1"/>
      <c r="T342" s="1"/>
      <c r="V342" s="1"/>
      <c r="W342" s="1"/>
      <c r="AJ342" s="1"/>
    </row>
    <row r="343" ht="14.25" customHeight="1" spans="1:36" x14ac:dyDescent="0.25">
      <c r="A343" s="1"/>
      <c r="B343" s="1"/>
      <c r="C343" s="1"/>
      <c r="D343" s="1"/>
      <c r="E343" s="1"/>
      <c r="F343" s="1"/>
      <c r="G343" s="1"/>
      <c r="H343" s="1"/>
      <c r="I343" s="1"/>
      <c r="J343" s="1"/>
      <c r="K343" s="1"/>
      <c r="L343" s="1"/>
      <c r="M343" s="1"/>
      <c r="N343" s="1"/>
      <c r="O343" s="1"/>
      <c r="Q343" s="1"/>
      <c r="R343" s="2"/>
      <c r="S343" s="1"/>
      <c r="T343" s="1"/>
      <c r="V343" s="1"/>
      <c r="W343" s="1"/>
      <c r="AJ343" s="1"/>
    </row>
    <row r="344" ht="14.25" customHeight="1" spans="1:36" x14ac:dyDescent="0.25">
      <c r="A344" s="1"/>
      <c r="B344" s="1"/>
      <c r="C344" s="1"/>
      <c r="D344" s="1"/>
      <c r="E344" s="1"/>
      <c r="F344" s="1"/>
      <c r="G344" s="1"/>
      <c r="H344" s="1"/>
      <c r="I344" s="1"/>
      <c r="J344" s="1"/>
      <c r="K344" s="1"/>
      <c r="L344" s="1"/>
      <c r="M344" s="1"/>
      <c r="N344" s="1"/>
      <c r="O344" s="1"/>
      <c r="Q344" s="1"/>
      <c r="R344" s="2"/>
      <c r="S344" s="1"/>
      <c r="T344" s="1"/>
      <c r="V344" s="1"/>
      <c r="W344" s="1"/>
      <c r="AJ344" s="1"/>
    </row>
    <row r="345" ht="14.25" customHeight="1" spans="1:36" x14ac:dyDescent="0.25">
      <c r="A345" s="1"/>
      <c r="B345" s="1"/>
      <c r="C345" s="1"/>
      <c r="D345" s="1"/>
      <c r="E345" s="1"/>
      <c r="F345" s="1"/>
      <c r="G345" s="1"/>
      <c r="H345" s="1"/>
      <c r="I345" s="1"/>
      <c r="J345" s="1"/>
      <c r="K345" s="1"/>
      <c r="L345" s="1"/>
      <c r="M345" s="1"/>
      <c r="N345" s="1"/>
      <c r="O345" s="1"/>
      <c r="Q345" s="1"/>
      <c r="R345" s="2"/>
      <c r="S345" s="1"/>
      <c r="T345" s="1"/>
      <c r="V345" s="1"/>
      <c r="W345" s="1"/>
      <c r="AJ345" s="1"/>
    </row>
    <row r="346" ht="14.25" customHeight="1" spans="1:36" x14ac:dyDescent="0.25">
      <c r="A346" s="1"/>
      <c r="B346" s="1"/>
      <c r="C346" s="1"/>
      <c r="D346" s="1"/>
      <c r="E346" s="1"/>
      <c r="F346" s="1"/>
      <c r="G346" s="1"/>
      <c r="H346" s="1"/>
      <c r="I346" s="1"/>
      <c r="J346" s="1"/>
      <c r="K346" s="1"/>
      <c r="L346" s="1"/>
      <c r="M346" s="1"/>
      <c r="N346" s="1"/>
      <c r="O346" s="1"/>
      <c r="Q346" s="1"/>
      <c r="R346" s="2"/>
      <c r="S346" s="1"/>
      <c r="T346" s="1"/>
      <c r="V346" s="1"/>
      <c r="W346" s="1"/>
      <c r="AJ346" s="1"/>
    </row>
    <row r="347" ht="14.25" customHeight="1" spans="1:36" x14ac:dyDescent="0.25">
      <c r="A347" s="1"/>
      <c r="B347" s="1"/>
      <c r="C347" s="1"/>
      <c r="D347" s="1"/>
      <c r="E347" s="1"/>
      <c r="F347" s="1"/>
      <c r="G347" s="1"/>
      <c r="H347" s="1"/>
      <c r="I347" s="1"/>
      <c r="J347" s="1"/>
      <c r="K347" s="1"/>
      <c r="L347" s="1"/>
      <c r="M347" s="1"/>
      <c r="N347" s="1"/>
      <c r="O347" s="1"/>
      <c r="Q347" s="1"/>
      <c r="R347" s="2"/>
      <c r="S347" s="1"/>
      <c r="T347" s="1"/>
      <c r="V347" s="1"/>
      <c r="W347" s="1"/>
      <c r="AJ347" s="1"/>
    </row>
    <row r="348" ht="14.25" customHeight="1" spans="1:36" x14ac:dyDescent="0.25">
      <c r="A348" s="1"/>
      <c r="B348" s="1"/>
      <c r="C348" s="1"/>
      <c r="D348" s="1"/>
      <c r="E348" s="1"/>
      <c r="F348" s="1"/>
      <c r="G348" s="1"/>
      <c r="H348" s="1"/>
      <c r="I348" s="1"/>
      <c r="J348" s="1"/>
      <c r="K348" s="1"/>
      <c r="L348" s="1"/>
      <c r="M348" s="1"/>
      <c r="N348" s="1"/>
      <c r="O348" s="1"/>
      <c r="Q348" s="1"/>
      <c r="R348" s="2"/>
      <c r="S348" s="1"/>
      <c r="T348" s="1"/>
      <c r="V348" s="1"/>
      <c r="W348" s="1"/>
      <c r="AJ348" s="1"/>
    </row>
    <row r="349" ht="14.25" customHeight="1" spans="1:36" x14ac:dyDescent="0.25">
      <c r="A349" s="1"/>
      <c r="B349" s="1"/>
      <c r="C349" s="1"/>
      <c r="D349" s="1"/>
      <c r="E349" s="1"/>
      <c r="F349" s="1"/>
      <c r="G349" s="1"/>
      <c r="H349" s="1"/>
      <c r="I349" s="1"/>
      <c r="J349" s="1"/>
      <c r="K349" s="1"/>
      <c r="L349" s="1"/>
      <c r="M349" s="1"/>
      <c r="N349" s="1"/>
      <c r="O349" s="1"/>
      <c r="Q349" s="1"/>
      <c r="R349" s="2"/>
      <c r="S349" s="1"/>
      <c r="T349" s="1"/>
      <c r="V349" s="1"/>
      <c r="W349" s="1"/>
      <c r="AJ349" s="1"/>
    </row>
    <row r="350" ht="14.25" customHeight="1" spans="1:36" x14ac:dyDescent="0.25">
      <c r="A350" s="1"/>
      <c r="B350" s="1"/>
      <c r="C350" s="1"/>
      <c r="D350" s="1"/>
      <c r="E350" s="1"/>
      <c r="F350" s="1"/>
      <c r="G350" s="1"/>
      <c r="H350" s="1"/>
      <c r="I350" s="1"/>
      <c r="J350" s="1"/>
      <c r="K350" s="1"/>
      <c r="L350" s="1"/>
      <c r="M350" s="1"/>
      <c r="N350" s="1"/>
      <c r="O350" s="1"/>
      <c r="Q350" s="1"/>
      <c r="R350" s="2"/>
      <c r="S350" s="1"/>
      <c r="T350" s="1"/>
      <c r="V350" s="1"/>
      <c r="W350" s="1"/>
      <c r="AJ350" s="1"/>
    </row>
    <row r="351" ht="14.25" customHeight="1" spans="1:36" x14ac:dyDescent="0.25">
      <c r="A351" s="1"/>
      <c r="B351" s="1"/>
      <c r="C351" s="1"/>
      <c r="D351" s="1"/>
      <c r="E351" s="1"/>
      <c r="F351" s="1"/>
      <c r="G351" s="1"/>
      <c r="H351" s="1"/>
      <c r="I351" s="1"/>
      <c r="J351" s="1"/>
      <c r="K351" s="1"/>
      <c r="L351" s="1"/>
      <c r="M351" s="1"/>
      <c r="N351" s="1"/>
      <c r="O351" s="1"/>
      <c r="Q351" s="1"/>
      <c r="R351" s="2"/>
      <c r="S351" s="1"/>
      <c r="T351" s="1"/>
      <c r="V351" s="1"/>
      <c r="W351" s="1"/>
      <c r="AJ351" s="1"/>
    </row>
    <row r="352" ht="14.25" customHeight="1" spans="1:36" x14ac:dyDescent="0.25">
      <c r="A352" s="1"/>
      <c r="B352" s="1"/>
      <c r="C352" s="1"/>
      <c r="D352" s="1"/>
      <c r="E352" s="1"/>
      <c r="F352" s="1"/>
      <c r="G352" s="1"/>
      <c r="H352" s="1"/>
      <c r="I352" s="1"/>
      <c r="J352" s="1"/>
      <c r="K352" s="1"/>
      <c r="L352" s="1"/>
      <c r="M352" s="1"/>
      <c r="N352" s="1"/>
      <c r="O352" s="1"/>
      <c r="Q352" s="1"/>
      <c r="R352" s="2"/>
      <c r="S352" s="1"/>
      <c r="T352" s="1"/>
      <c r="V352" s="1"/>
      <c r="W352" s="1"/>
      <c r="AJ352" s="1"/>
    </row>
    <row r="353" ht="14.25" customHeight="1" spans="1:36" x14ac:dyDescent="0.25">
      <c r="A353" s="1"/>
      <c r="B353" s="1"/>
      <c r="C353" s="1"/>
      <c r="D353" s="1"/>
      <c r="E353" s="1"/>
      <c r="F353" s="1"/>
      <c r="G353" s="1"/>
      <c r="H353" s="1"/>
      <c r="I353" s="1"/>
      <c r="J353" s="1"/>
      <c r="K353" s="1"/>
      <c r="L353" s="1"/>
      <c r="M353" s="1"/>
      <c r="N353" s="1"/>
      <c r="O353" s="1"/>
      <c r="Q353" s="1"/>
      <c r="R353" s="2"/>
      <c r="S353" s="1"/>
      <c r="T353" s="1"/>
      <c r="V353" s="1"/>
      <c r="W353" s="1"/>
      <c r="AJ353" s="1"/>
    </row>
    <row r="354" ht="14.25" customHeight="1" spans="1:36" x14ac:dyDescent="0.25">
      <c r="A354" s="1"/>
      <c r="B354" s="1"/>
      <c r="C354" s="1"/>
      <c r="D354" s="1"/>
      <c r="E354" s="1"/>
      <c r="F354" s="1"/>
      <c r="G354" s="1"/>
      <c r="H354" s="1"/>
      <c r="I354" s="1"/>
      <c r="J354" s="1"/>
      <c r="K354" s="1"/>
      <c r="L354" s="1"/>
      <c r="M354" s="1"/>
      <c r="N354" s="1"/>
      <c r="O354" s="1"/>
      <c r="Q354" s="1"/>
      <c r="R354" s="2"/>
      <c r="S354" s="1"/>
      <c r="T354" s="1"/>
      <c r="V354" s="1"/>
      <c r="W354" s="1"/>
      <c r="AJ354" s="1"/>
    </row>
    <row r="355" ht="14.25" customHeight="1" spans="1:36" x14ac:dyDescent="0.25">
      <c r="A355" s="1"/>
      <c r="B355" s="1"/>
      <c r="C355" s="1"/>
      <c r="D355" s="1"/>
      <c r="E355" s="1"/>
      <c r="F355" s="1"/>
      <c r="G355" s="1"/>
      <c r="H355" s="1"/>
      <c r="I355" s="1"/>
      <c r="J355" s="1"/>
      <c r="K355" s="1"/>
      <c r="L355" s="1"/>
      <c r="M355" s="1"/>
      <c r="N355" s="1"/>
      <c r="O355" s="1"/>
      <c r="Q355" s="1"/>
      <c r="R355" s="2"/>
      <c r="S355" s="1"/>
      <c r="T355" s="1"/>
      <c r="V355" s="1"/>
      <c r="W355" s="1"/>
      <c r="AJ355" s="1"/>
    </row>
    <row r="356" ht="14.25" customHeight="1" spans="1:36" x14ac:dyDescent="0.25">
      <c r="A356" s="1"/>
      <c r="B356" s="1"/>
      <c r="C356" s="1"/>
      <c r="D356" s="1"/>
      <c r="E356" s="1"/>
      <c r="F356" s="1"/>
      <c r="G356" s="1"/>
      <c r="H356" s="1"/>
      <c r="I356" s="1"/>
      <c r="J356" s="1"/>
      <c r="K356" s="1"/>
      <c r="L356" s="1"/>
      <c r="M356" s="1"/>
      <c r="N356" s="1"/>
      <c r="O356" s="1"/>
      <c r="Q356" s="1"/>
      <c r="R356" s="2"/>
      <c r="S356" s="1"/>
      <c r="T356" s="1"/>
      <c r="V356" s="1"/>
      <c r="W356" s="1"/>
      <c r="AJ356" s="1"/>
    </row>
    <row r="357" ht="14.25" customHeight="1" spans="1:36" x14ac:dyDescent="0.25">
      <c r="A357" s="1"/>
      <c r="B357" s="1"/>
      <c r="C357" s="1"/>
      <c r="D357" s="1"/>
      <c r="E357" s="1"/>
      <c r="F357" s="1"/>
      <c r="G357" s="1"/>
      <c r="H357" s="1"/>
      <c r="I357" s="1"/>
      <c r="J357" s="1"/>
      <c r="K357" s="1"/>
      <c r="L357" s="1"/>
      <c r="M357" s="1"/>
      <c r="N357" s="1"/>
      <c r="O357" s="1"/>
      <c r="Q357" s="1"/>
      <c r="R357" s="2"/>
      <c r="S357" s="1"/>
      <c r="T357" s="1"/>
      <c r="V357" s="1"/>
      <c r="W357" s="1"/>
      <c r="AJ357" s="1"/>
    </row>
    <row r="358" ht="14.25" customHeight="1" spans="1:36" x14ac:dyDescent="0.25">
      <c r="A358" s="1"/>
      <c r="B358" s="1"/>
      <c r="C358" s="1"/>
      <c r="D358" s="1"/>
      <c r="E358" s="1"/>
      <c r="F358" s="1"/>
      <c r="G358" s="1"/>
      <c r="H358" s="1"/>
      <c r="I358" s="1"/>
      <c r="J358" s="1"/>
      <c r="K358" s="1"/>
      <c r="L358" s="1"/>
      <c r="M358" s="1"/>
      <c r="N358" s="1"/>
      <c r="O358" s="1"/>
      <c r="Q358" s="1"/>
      <c r="R358" s="2"/>
      <c r="S358" s="1"/>
      <c r="T358" s="1"/>
      <c r="V358" s="1"/>
      <c r="W358" s="1"/>
      <c r="AJ358" s="1"/>
    </row>
    <row r="359" ht="14.25" customHeight="1" spans="1:36" x14ac:dyDescent="0.25">
      <c r="A359" s="1"/>
      <c r="B359" s="1"/>
      <c r="C359" s="1"/>
      <c r="D359" s="1"/>
      <c r="E359" s="1"/>
      <c r="F359" s="1"/>
      <c r="G359" s="1"/>
      <c r="H359" s="1"/>
      <c r="I359" s="1"/>
      <c r="J359" s="1"/>
      <c r="K359" s="1"/>
      <c r="L359" s="1"/>
      <c r="M359" s="1"/>
      <c r="N359" s="1"/>
      <c r="O359" s="1"/>
      <c r="Q359" s="1"/>
      <c r="R359" s="2"/>
      <c r="S359" s="1"/>
      <c r="T359" s="1"/>
      <c r="V359" s="1"/>
      <c r="W359" s="1"/>
      <c r="AJ359" s="1"/>
    </row>
    <row r="360" ht="14.25" customHeight="1" spans="1:36" x14ac:dyDescent="0.25">
      <c r="A360" s="1"/>
      <c r="B360" s="1"/>
      <c r="C360" s="1"/>
      <c r="D360" s="1"/>
      <c r="E360" s="1"/>
      <c r="F360" s="1"/>
      <c r="G360" s="1"/>
      <c r="H360" s="1"/>
      <c r="I360" s="1"/>
      <c r="J360" s="1"/>
      <c r="K360" s="1"/>
      <c r="L360" s="1"/>
      <c r="M360" s="1"/>
      <c r="N360" s="1"/>
      <c r="O360" s="1"/>
      <c r="Q360" s="1"/>
      <c r="R360" s="2"/>
      <c r="S360" s="1"/>
      <c r="T360" s="1"/>
      <c r="V360" s="1"/>
      <c r="W360" s="1"/>
      <c r="AJ360" s="1"/>
    </row>
    <row r="361" ht="14.25" customHeight="1" spans="1:36" x14ac:dyDescent="0.25">
      <c r="A361" s="1"/>
      <c r="B361" s="1"/>
      <c r="C361" s="1"/>
      <c r="D361" s="1"/>
      <c r="E361" s="1"/>
      <c r="F361" s="1"/>
      <c r="G361" s="1"/>
      <c r="H361" s="1"/>
      <c r="I361" s="1"/>
      <c r="J361" s="1"/>
      <c r="K361" s="1"/>
      <c r="L361" s="1"/>
      <c r="M361" s="1"/>
      <c r="N361" s="1"/>
      <c r="O361" s="1"/>
      <c r="Q361" s="1"/>
      <c r="R361" s="2"/>
      <c r="S361" s="1"/>
      <c r="T361" s="1"/>
      <c r="V361" s="1"/>
      <c r="W361" s="1"/>
      <c r="AJ361" s="1"/>
    </row>
    <row r="362" ht="14.25" customHeight="1" spans="1:36" x14ac:dyDescent="0.25">
      <c r="A362" s="1"/>
      <c r="B362" s="1"/>
      <c r="C362" s="1"/>
      <c r="D362" s="1"/>
      <c r="E362" s="1"/>
      <c r="F362" s="1"/>
      <c r="G362" s="1"/>
      <c r="H362" s="1"/>
      <c r="I362" s="1"/>
      <c r="J362" s="1"/>
      <c r="K362" s="1"/>
      <c r="L362" s="1"/>
      <c r="M362" s="1"/>
      <c r="N362" s="1"/>
      <c r="O362" s="1"/>
      <c r="Q362" s="1"/>
      <c r="R362" s="2"/>
      <c r="S362" s="1"/>
      <c r="T362" s="1"/>
      <c r="V362" s="1"/>
      <c r="W362" s="1"/>
      <c r="AJ362" s="1"/>
    </row>
    <row r="363" ht="14.25" customHeight="1" spans="1:36" x14ac:dyDescent="0.25">
      <c r="A363" s="1"/>
      <c r="B363" s="1"/>
      <c r="C363" s="1"/>
      <c r="D363" s="1"/>
      <c r="E363" s="1"/>
      <c r="F363" s="1"/>
      <c r="G363" s="1"/>
      <c r="H363" s="1"/>
      <c r="I363" s="1"/>
      <c r="J363" s="1"/>
      <c r="K363" s="1"/>
      <c r="L363" s="1"/>
      <c r="M363" s="1"/>
      <c r="N363" s="1"/>
      <c r="O363" s="1"/>
      <c r="Q363" s="1"/>
      <c r="R363" s="2"/>
      <c r="S363" s="1"/>
      <c r="T363" s="1"/>
      <c r="V363" s="1"/>
      <c r="W363" s="1"/>
      <c r="AJ363" s="1"/>
    </row>
    <row r="364" ht="14.25" customHeight="1" spans="1:36" x14ac:dyDescent="0.25">
      <c r="A364" s="1"/>
      <c r="B364" s="1"/>
      <c r="C364" s="1"/>
      <c r="D364" s="1"/>
      <c r="E364" s="1"/>
      <c r="F364" s="1"/>
      <c r="G364" s="1"/>
      <c r="H364" s="1"/>
      <c r="I364" s="1"/>
      <c r="J364" s="1"/>
      <c r="K364" s="1"/>
      <c r="L364" s="1"/>
      <c r="M364" s="1"/>
      <c r="N364" s="1"/>
      <c r="O364" s="1"/>
      <c r="Q364" s="1"/>
      <c r="R364" s="2"/>
      <c r="S364" s="1"/>
      <c r="T364" s="1"/>
      <c r="V364" s="1"/>
      <c r="W364" s="1"/>
      <c r="AJ364" s="1"/>
    </row>
    <row r="365" ht="14.25" customHeight="1" spans="1:36" x14ac:dyDescent="0.25">
      <c r="A365" s="1"/>
      <c r="B365" s="1"/>
      <c r="C365" s="1"/>
      <c r="D365" s="1"/>
      <c r="E365" s="1"/>
      <c r="F365" s="1"/>
      <c r="G365" s="1"/>
      <c r="H365" s="1"/>
      <c r="I365" s="1"/>
      <c r="J365" s="1"/>
      <c r="K365" s="1"/>
      <c r="L365" s="1"/>
      <c r="M365" s="1"/>
      <c r="N365" s="1"/>
      <c r="O365" s="1"/>
      <c r="Q365" s="1"/>
      <c r="R365" s="2"/>
      <c r="S365" s="1"/>
      <c r="T365" s="1"/>
      <c r="V365" s="1"/>
      <c r="W365" s="1"/>
      <c r="AJ365" s="1"/>
    </row>
    <row r="366" ht="14.25" customHeight="1" spans="1:36" x14ac:dyDescent="0.25">
      <c r="A366" s="1"/>
      <c r="B366" s="1"/>
      <c r="C366" s="1"/>
      <c r="D366" s="1"/>
      <c r="E366" s="1"/>
      <c r="F366" s="1"/>
      <c r="G366" s="1"/>
      <c r="H366" s="1"/>
      <c r="I366" s="1"/>
      <c r="J366" s="1"/>
      <c r="K366" s="1"/>
      <c r="L366" s="1"/>
      <c r="M366" s="1"/>
      <c r="N366" s="1"/>
      <c r="O366" s="1"/>
      <c r="Q366" s="1"/>
      <c r="R366" s="2"/>
      <c r="S366" s="1"/>
      <c r="T366" s="1"/>
      <c r="V366" s="1"/>
      <c r="W366" s="1"/>
      <c r="AJ366" s="1"/>
    </row>
    <row r="367" ht="14.25" customHeight="1" spans="1:36" x14ac:dyDescent="0.25">
      <c r="A367" s="1"/>
      <c r="B367" s="1"/>
      <c r="C367" s="1"/>
      <c r="D367" s="1"/>
      <c r="E367" s="1"/>
      <c r="F367" s="1"/>
      <c r="G367" s="1"/>
      <c r="H367" s="1"/>
      <c r="I367" s="1"/>
      <c r="J367" s="1"/>
      <c r="K367" s="1"/>
      <c r="L367" s="1"/>
      <c r="M367" s="1"/>
      <c r="N367" s="1"/>
      <c r="O367" s="1"/>
      <c r="Q367" s="1"/>
      <c r="R367" s="2"/>
      <c r="S367" s="1"/>
      <c r="T367" s="1"/>
      <c r="V367" s="1"/>
      <c r="W367" s="1"/>
      <c r="AJ367" s="1"/>
    </row>
    <row r="368" ht="14.25" customHeight="1" spans="1:36" x14ac:dyDescent="0.25">
      <c r="A368" s="1"/>
      <c r="B368" s="1"/>
      <c r="C368" s="1"/>
      <c r="D368" s="1"/>
      <c r="E368" s="1"/>
      <c r="F368" s="1"/>
      <c r="G368" s="1"/>
      <c r="H368" s="1"/>
      <c r="I368" s="1"/>
      <c r="J368" s="1"/>
      <c r="K368" s="1"/>
      <c r="L368" s="1"/>
      <c r="M368" s="1"/>
      <c r="N368" s="1"/>
      <c r="O368" s="1"/>
      <c r="Q368" s="1"/>
      <c r="R368" s="2"/>
      <c r="S368" s="1"/>
      <c r="T368" s="1"/>
      <c r="V368" s="1"/>
      <c r="W368" s="1"/>
      <c r="AJ368" s="1"/>
    </row>
    <row r="369" ht="14.25" customHeight="1" spans="1:36" x14ac:dyDescent="0.25">
      <c r="A369" s="1"/>
      <c r="B369" s="1"/>
      <c r="C369" s="1"/>
      <c r="D369" s="1"/>
      <c r="E369" s="1"/>
      <c r="F369" s="1"/>
      <c r="G369" s="1"/>
      <c r="H369" s="1"/>
      <c r="I369" s="1"/>
      <c r="J369" s="1"/>
      <c r="K369" s="1"/>
      <c r="L369" s="1"/>
      <c r="M369" s="1"/>
      <c r="N369" s="1"/>
      <c r="O369" s="1"/>
      <c r="Q369" s="1"/>
      <c r="R369" s="2"/>
      <c r="S369" s="1"/>
      <c r="T369" s="1"/>
      <c r="V369" s="1"/>
      <c r="W369" s="1"/>
      <c r="AJ369" s="1"/>
    </row>
    <row r="370" ht="14.25" customHeight="1" spans="1:36" x14ac:dyDescent="0.25">
      <c r="A370" s="1"/>
      <c r="B370" s="1"/>
      <c r="C370" s="1"/>
      <c r="D370" s="1"/>
      <c r="E370" s="1"/>
      <c r="F370" s="1"/>
      <c r="G370" s="1"/>
      <c r="H370" s="1"/>
      <c r="I370" s="1"/>
      <c r="J370" s="1"/>
      <c r="K370" s="1"/>
      <c r="L370" s="1"/>
      <c r="M370" s="1"/>
      <c r="N370" s="1"/>
      <c r="O370" s="1"/>
      <c r="Q370" s="1"/>
      <c r="R370" s="2"/>
      <c r="S370" s="1"/>
      <c r="T370" s="1"/>
      <c r="V370" s="1"/>
      <c r="W370" s="1"/>
      <c r="AJ370" s="1"/>
    </row>
    <row r="371" ht="14.25" customHeight="1" spans="1:36" x14ac:dyDescent="0.25">
      <c r="A371" s="1"/>
      <c r="B371" s="1"/>
      <c r="C371" s="1"/>
      <c r="D371" s="1"/>
      <c r="E371" s="1"/>
      <c r="F371" s="1"/>
      <c r="G371" s="1"/>
      <c r="H371" s="1"/>
      <c r="I371" s="1"/>
      <c r="J371" s="1"/>
      <c r="K371" s="1"/>
      <c r="L371" s="1"/>
      <c r="M371" s="1"/>
      <c r="N371" s="1"/>
      <c r="O371" s="1"/>
      <c r="Q371" s="1"/>
      <c r="R371" s="2"/>
      <c r="S371" s="1"/>
      <c r="T371" s="1"/>
      <c r="V371" s="1"/>
      <c r="W371" s="1"/>
      <c r="AJ371" s="1"/>
    </row>
    <row r="372" ht="14.25" customHeight="1" spans="1:36" x14ac:dyDescent="0.25">
      <c r="A372" s="1"/>
      <c r="B372" s="1"/>
      <c r="C372" s="1"/>
      <c r="D372" s="1"/>
      <c r="E372" s="1"/>
      <c r="F372" s="1"/>
      <c r="G372" s="1"/>
      <c r="H372" s="1"/>
      <c r="I372" s="1"/>
      <c r="J372" s="1"/>
      <c r="K372" s="1"/>
      <c r="L372" s="1"/>
      <c r="M372" s="1"/>
      <c r="N372" s="1"/>
      <c r="O372" s="1"/>
      <c r="Q372" s="1"/>
      <c r="R372" s="2"/>
      <c r="S372" s="1"/>
      <c r="T372" s="1"/>
      <c r="V372" s="1"/>
      <c r="W372" s="1"/>
      <c r="AJ372" s="1"/>
    </row>
    <row r="373" ht="14.25" customHeight="1" spans="1:36" x14ac:dyDescent="0.25">
      <c r="A373" s="1"/>
      <c r="B373" s="1"/>
      <c r="C373" s="1"/>
      <c r="D373" s="1"/>
      <c r="E373" s="1"/>
      <c r="F373" s="1"/>
      <c r="G373" s="1"/>
      <c r="H373" s="1"/>
      <c r="I373" s="1"/>
      <c r="J373" s="1"/>
      <c r="K373" s="1"/>
      <c r="L373" s="1"/>
      <c r="M373" s="1"/>
      <c r="N373" s="1"/>
      <c r="O373" s="1"/>
      <c r="Q373" s="1"/>
      <c r="R373" s="2"/>
      <c r="S373" s="1"/>
      <c r="T373" s="1"/>
      <c r="V373" s="1"/>
      <c r="W373" s="1"/>
      <c r="AJ373" s="1"/>
    </row>
    <row r="374" ht="14.25" customHeight="1" spans="1:36" x14ac:dyDescent="0.25">
      <c r="A374" s="1"/>
      <c r="B374" s="1"/>
      <c r="C374" s="1"/>
      <c r="D374" s="1"/>
      <c r="E374" s="1"/>
      <c r="F374" s="1"/>
      <c r="G374" s="1"/>
      <c r="H374" s="1"/>
      <c r="I374" s="1"/>
      <c r="J374" s="1"/>
      <c r="K374" s="1"/>
      <c r="L374" s="1"/>
      <c r="M374" s="1"/>
      <c r="N374" s="1"/>
      <c r="O374" s="1"/>
      <c r="Q374" s="1"/>
      <c r="R374" s="2"/>
      <c r="S374" s="1"/>
      <c r="T374" s="1"/>
      <c r="V374" s="1"/>
      <c r="W374" s="1"/>
      <c r="AJ374" s="1"/>
    </row>
    <row r="375" ht="14.25" customHeight="1" spans="1:36" x14ac:dyDescent="0.25">
      <c r="A375" s="1"/>
      <c r="B375" s="1"/>
      <c r="C375" s="1"/>
      <c r="D375" s="1"/>
      <c r="E375" s="1"/>
      <c r="F375" s="1"/>
      <c r="G375" s="1"/>
      <c r="H375" s="1"/>
      <c r="I375" s="1"/>
      <c r="J375" s="1"/>
      <c r="K375" s="1"/>
      <c r="L375" s="1"/>
      <c r="M375" s="1"/>
      <c r="N375" s="1"/>
      <c r="O375" s="1"/>
      <c r="Q375" s="1"/>
      <c r="R375" s="2"/>
      <c r="S375" s="1"/>
      <c r="T375" s="1"/>
      <c r="V375" s="1"/>
      <c r="W375" s="1"/>
      <c r="AJ375" s="1"/>
    </row>
    <row r="376" ht="14.25" customHeight="1" spans="1:36" x14ac:dyDescent="0.25">
      <c r="A376" s="1"/>
      <c r="B376" s="1"/>
      <c r="C376" s="1"/>
      <c r="D376" s="1"/>
      <c r="E376" s="1"/>
      <c r="F376" s="1"/>
      <c r="G376" s="1"/>
      <c r="H376" s="1"/>
      <c r="I376" s="1"/>
      <c r="J376" s="1"/>
      <c r="K376" s="1"/>
      <c r="L376" s="1"/>
      <c r="M376" s="1"/>
      <c r="N376" s="1"/>
      <c r="O376" s="1"/>
      <c r="Q376" s="1"/>
      <c r="R376" s="2"/>
      <c r="S376" s="1"/>
      <c r="T376" s="1"/>
      <c r="V376" s="1"/>
      <c r="W376" s="1"/>
      <c r="AJ376" s="1"/>
    </row>
    <row r="377" ht="14.25" customHeight="1" spans="1:36" x14ac:dyDescent="0.25">
      <c r="A377" s="1"/>
      <c r="B377" s="1"/>
      <c r="C377" s="1"/>
      <c r="D377" s="1"/>
      <c r="E377" s="1"/>
      <c r="F377" s="1"/>
      <c r="G377" s="1"/>
      <c r="H377" s="1"/>
      <c r="I377" s="1"/>
      <c r="J377" s="1"/>
      <c r="K377" s="1"/>
      <c r="L377" s="1"/>
      <c r="M377" s="1"/>
      <c r="N377" s="1"/>
      <c r="O377" s="1"/>
      <c r="Q377" s="1"/>
      <c r="R377" s="2"/>
      <c r="S377" s="1"/>
      <c r="T377" s="1"/>
      <c r="V377" s="1"/>
      <c r="W377" s="1"/>
      <c r="AJ377" s="1"/>
    </row>
    <row r="378" ht="14.25" customHeight="1" spans="1:36" x14ac:dyDescent="0.25">
      <c r="A378" s="1"/>
      <c r="B378" s="1"/>
      <c r="C378" s="1"/>
      <c r="D378" s="1"/>
      <c r="E378" s="1"/>
      <c r="F378" s="1"/>
      <c r="G378" s="1"/>
      <c r="H378" s="1"/>
      <c r="I378" s="1"/>
      <c r="J378" s="1"/>
      <c r="K378" s="1"/>
      <c r="L378" s="1"/>
      <c r="M378" s="1"/>
      <c r="N378" s="1"/>
      <c r="O378" s="1"/>
      <c r="Q378" s="1"/>
      <c r="R378" s="2"/>
      <c r="S378" s="1"/>
      <c r="T378" s="1"/>
      <c r="V378" s="1"/>
      <c r="W378" s="1"/>
      <c r="AJ378" s="1"/>
    </row>
    <row r="379" ht="14.25" customHeight="1" spans="1:36" x14ac:dyDescent="0.25">
      <c r="A379" s="1"/>
      <c r="B379" s="1"/>
      <c r="C379" s="1"/>
      <c r="D379" s="1"/>
      <c r="E379" s="1"/>
      <c r="F379" s="1"/>
      <c r="G379" s="1"/>
      <c r="H379" s="1"/>
      <c r="I379" s="1"/>
      <c r="J379" s="1"/>
      <c r="K379" s="1"/>
      <c r="L379" s="1"/>
      <c r="M379" s="1"/>
      <c r="N379" s="1"/>
      <c r="O379" s="1"/>
      <c r="Q379" s="1"/>
      <c r="R379" s="2"/>
      <c r="S379" s="1"/>
      <c r="T379" s="1"/>
      <c r="V379" s="1"/>
      <c r="W379" s="1"/>
      <c r="AJ379" s="1"/>
    </row>
    <row r="380" ht="14.25" customHeight="1" spans="1:36" x14ac:dyDescent="0.25">
      <c r="A380" s="1"/>
      <c r="B380" s="1"/>
      <c r="C380" s="1"/>
      <c r="D380" s="1"/>
      <c r="E380" s="1"/>
      <c r="F380" s="1"/>
      <c r="G380" s="1"/>
      <c r="H380" s="1"/>
      <c r="I380" s="1"/>
      <c r="J380" s="1"/>
      <c r="K380" s="1"/>
      <c r="L380" s="1"/>
      <c r="M380" s="1"/>
      <c r="N380" s="1"/>
      <c r="O380" s="1"/>
      <c r="Q380" s="1"/>
      <c r="R380" s="2"/>
      <c r="S380" s="1"/>
      <c r="T380" s="1"/>
      <c r="V380" s="1"/>
      <c r="W380" s="1"/>
      <c r="AJ380" s="1"/>
    </row>
    <row r="381" ht="14.25" customHeight="1" spans="1:36" x14ac:dyDescent="0.25">
      <c r="A381" s="1"/>
      <c r="B381" s="1"/>
      <c r="C381" s="1"/>
      <c r="D381" s="1"/>
      <c r="E381" s="1"/>
      <c r="F381" s="1"/>
      <c r="G381" s="1"/>
      <c r="H381" s="1"/>
      <c r="I381" s="1"/>
      <c r="J381" s="1"/>
      <c r="K381" s="1"/>
      <c r="L381" s="1"/>
      <c r="M381" s="1"/>
      <c r="N381" s="1"/>
      <c r="O381" s="1"/>
      <c r="Q381" s="1"/>
      <c r="R381" s="2"/>
      <c r="S381" s="1"/>
      <c r="T381" s="1"/>
      <c r="V381" s="1"/>
      <c r="W381" s="1"/>
      <c r="AJ381" s="1"/>
    </row>
    <row r="382" ht="14.25" customHeight="1" spans="1:36" x14ac:dyDescent="0.25">
      <c r="A382" s="1"/>
      <c r="B382" s="1"/>
      <c r="C382" s="1"/>
      <c r="D382" s="1"/>
      <c r="E382" s="1"/>
      <c r="F382" s="1"/>
      <c r="G382" s="1"/>
      <c r="H382" s="1"/>
      <c r="I382" s="1"/>
      <c r="J382" s="1"/>
      <c r="K382" s="1"/>
      <c r="L382" s="1"/>
      <c r="M382" s="1"/>
      <c r="N382" s="1"/>
      <c r="O382" s="1"/>
      <c r="Q382" s="1"/>
      <c r="R382" s="2"/>
      <c r="S382" s="1"/>
      <c r="T382" s="1"/>
      <c r="V382" s="1"/>
      <c r="W382" s="1"/>
      <c r="AJ382" s="1"/>
    </row>
    <row r="383" ht="14.25" customHeight="1" spans="1:36" x14ac:dyDescent="0.25">
      <c r="A383" s="1"/>
      <c r="B383" s="1"/>
      <c r="C383" s="1"/>
      <c r="D383" s="1"/>
      <c r="E383" s="1"/>
      <c r="F383" s="1"/>
      <c r="G383" s="1"/>
      <c r="H383" s="1"/>
      <c r="I383" s="1"/>
      <c r="J383" s="1"/>
      <c r="K383" s="1"/>
      <c r="L383" s="1"/>
      <c r="M383" s="1"/>
      <c r="N383" s="1"/>
      <c r="O383" s="1"/>
      <c r="Q383" s="1"/>
      <c r="R383" s="2"/>
      <c r="S383" s="1"/>
      <c r="T383" s="1"/>
      <c r="V383" s="1"/>
      <c r="W383" s="1"/>
      <c r="AJ383" s="1"/>
    </row>
    <row r="384" ht="14.25" customHeight="1" spans="1:36" x14ac:dyDescent="0.25">
      <c r="A384" s="1"/>
      <c r="B384" s="1"/>
      <c r="C384" s="1"/>
      <c r="D384" s="1"/>
      <c r="E384" s="1"/>
      <c r="F384" s="1"/>
      <c r="G384" s="1"/>
      <c r="H384" s="1"/>
      <c r="I384" s="1"/>
      <c r="J384" s="1"/>
      <c r="K384" s="1"/>
      <c r="L384" s="1"/>
      <c r="M384" s="1"/>
      <c r="N384" s="1"/>
      <c r="O384" s="1"/>
      <c r="Q384" s="1"/>
      <c r="R384" s="2"/>
      <c r="S384" s="1"/>
      <c r="T384" s="1"/>
      <c r="V384" s="1"/>
      <c r="W384" s="1"/>
      <c r="AJ384" s="1"/>
    </row>
    <row r="385" ht="14.25" customHeight="1" spans="1:36" x14ac:dyDescent="0.25">
      <c r="A385" s="1"/>
      <c r="B385" s="1"/>
      <c r="C385" s="1"/>
      <c r="D385" s="1"/>
      <c r="E385" s="1"/>
      <c r="F385" s="1"/>
      <c r="G385" s="1"/>
      <c r="H385" s="1"/>
      <c r="I385" s="1"/>
      <c r="J385" s="1"/>
      <c r="K385" s="1"/>
      <c r="L385" s="1"/>
      <c r="M385" s="1"/>
      <c r="N385" s="1"/>
      <c r="O385" s="1"/>
      <c r="Q385" s="1"/>
      <c r="R385" s="2"/>
      <c r="S385" s="1"/>
      <c r="T385" s="1"/>
      <c r="V385" s="1"/>
      <c r="W385" s="1"/>
      <c r="AJ385" s="1"/>
    </row>
    <row r="386" ht="14.25" customHeight="1" spans="1:36" x14ac:dyDescent="0.25">
      <c r="A386" s="1"/>
      <c r="B386" s="1"/>
      <c r="C386" s="1"/>
      <c r="D386" s="1"/>
      <c r="E386" s="1"/>
      <c r="F386" s="1"/>
      <c r="G386" s="1"/>
      <c r="H386" s="1"/>
      <c r="I386" s="1"/>
      <c r="J386" s="1"/>
      <c r="K386" s="1"/>
      <c r="L386" s="1"/>
      <c r="M386" s="1"/>
      <c r="N386" s="1"/>
      <c r="O386" s="1"/>
      <c r="Q386" s="1"/>
      <c r="R386" s="2"/>
      <c r="S386" s="1"/>
      <c r="T386" s="1"/>
      <c r="V386" s="1"/>
      <c r="W386" s="1"/>
      <c r="AJ386" s="1"/>
    </row>
    <row r="387" ht="14.25" customHeight="1" spans="1:36" x14ac:dyDescent="0.25">
      <c r="A387" s="1"/>
      <c r="B387" s="1"/>
      <c r="C387" s="1"/>
      <c r="D387" s="1"/>
      <c r="E387" s="1"/>
      <c r="F387" s="1"/>
      <c r="G387" s="1"/>
      <c r="H387" s="1"/>
      <c r="I387" s="1"/>
      <c r="J387" s="1"/>
      <c r="K387" s="1"/>
      <c r="L387" s="1"/>
      <c r="M387" s="1"/>
      <c r="N387" s="1"/>
      <c r="O387" s="1"/>
      <c r="Q387" s="1"/>
      <c r="R387" s="2"/>
      <c r="S387" s="1"/>
      <c r="T387" s="1"/>
      <c r="V387" s="1"/>
      <c r="W387" s="1"/>
      <c r="AJ387" s="1"/>
    </row>
    <row r="388" ht="14.25" customHeight="1" spans="1:36" x14ac:dyDescent="0.25">
      <c r="A388" s="1"/>
      <c r="B388" s="1"/>
      <c r="C388" s="1"/>
      <c r="D388" s="1"/>
      <c r="E388" s="1"/>
      <c r="F388" s="1"/>
      <c r="G388" s="1"/>
      <c r="H388" s="1"/>
      <c r="I388" s="1"/>
      <c r="J388" s="1"/>
      <c r="K388" s="1"/>
      <c r="L388" s="1"/>
      <c r="M388" s="1"/>
      <c r="N388" s="1"/>
      <c r="O388" s="1"/>
      <c r="Q388" s="1"/>
      <c r="R388" s="2"/>
      <c r="S388" s="1"/>
      <c r="T388" s="1"/>
      <c r="V388" s="1"/>
      <c r="W388" s="1"/>
      <c r="AJ388" s="1"/>
    </row>
    <row r="389" ht="14.25" customHeight="1" spans="1:36" x14ac:dyDescent="0.25">
      <c r="A389" s="1"/>
      <c r="B389" s="1"/>
      <c r="C389" s="1"/>
      <c r="D389" s="1"/>
      <c r="E389" s="1"/>
      <c r="F389" s="1"/>
      <c r="G389" s="1"/>
      <c r="H389" s="1"/>
      <c r="I389" s="1"/>
      <c r="J389" s="1"/>
      <c r="K389" s="1"/>
      <c r="L389" s="1"/>
      <c r="M389" s="1"/>
      <c r="N389" s="1"/>
      <c r="O389" s="1"/>
      <c r="Q389" s="1"/>
      <c r="R389" s="2"/>
      <c r="S389" s="1"/>
      <c r="T389" s="1"/>
      <c r="V389" s="1"/>
      <c r="W389" s="1"/>
      <c r="AJ389" s="1"/>
    </row>
    <row r="390" ht="14.25" customHeight="1" spans="1:36" x14ac:dyDescent="0.25">
      <c r="A390" s="1"/>
      <c r="B390" s="1"/>
      <c r="C390" s="1"/>
      <c r="D390" s="1"/>
      <c r="E390" s="1"/>
      <c r="F390" s="1"/>
      <c r="G390" s="1"/>
      <c r="H390" s="1"/>
      <c r="I390" s="1"/>
      <c r="J390" s="1"/>
      <c r="K390" s="1"/>
      <c r="L390" s="1"/>
      <c r="M390" s="1"/>
      <c r="N390" s="1"/>
      <c r="O390" s="1"/>
      <c r="Q390" s="1"/>
      <c r="R390" s="2"/>
      <c r="S390" s="1"/>
      <c r="T390" s="1"/>
      <c r="V390" s="1"/>
      <c r="W390" s="1"/>
      <c r="AJ390" s="1"/>
    </row>
    <row r="391" ht="14.25" customHeight="1" spans="1:36" x14ac:dyDescent="0.25">
      <c r="A391" s="1"/>
      <c r="B391" s="1"/>
      <c r="C391" s="1"/>
      <c r="D391" s="1"/>
      <c r="E391" s="1"/>
      <c r="F391" s="1"/>
      <c r="G391" s="1"/>
      <c r="H391" s="1"/>
      <c r="I391" s="1"/>
      <c r="J391" s="1"/>
      <c r="K391" s="1"/>
      <c r="L391" s="1"/>
      <c r="M391" s="1"/>
      <c r="N391" s="1"/>
      <c r="O391" s="1"/>
      <c r="Q391" s="1"/>
      <c r="R391" s="2"/>
      <c r="S391" s="1"/>
      <c r="T391" s="1"/>
      <c r="V391" s="1"/>
      <c r="W391" s="1"/>
      <c r="AJ391" s="1"/>
    </row>
    <row r="392" ht="14.25" customHeight="1" spans="1:36" x14ac:dyDescent="0.25">
      <c r="A392" s="1"/>
      <c r="B392" s="1"/>
      <c r="C392" s="1"/>
      <c r="D392" s="1"/>
      <c r="E392" s="1"/>
      <c r="F392" s="1"/>
      <c r="G392" s="1"/>
      <c r="H392" s="1"/>
      <c r="I392" s="1"/>
      <c r="J392" s="1"/>
      <c r="K392" s="1"/>
      <c r="L392" s="1"/>
      <c r="M392" s="1"/>
      <c r="N392" s="1"/>
      <c r="O392" s="1"/>
      <c r="Q392" s="1"/>
      <c r="R392" s="2"/>
      <c r="S392" s="1"/>
      <c r="T392" s="1"/>
      <c r="V392" s="1"/>
      <c r="W392" s="1"/>
      <c r="AJ392" s="1"/>
    </row>
    <row r="393" ht="14.25" customHeight="1" spans="1:36" x14ac:dyDescent="0.25">
      <c r="A393" s="1"/>
      <c r="B393" s="1"/>
      <c r="C393" s="1"/>
      <c r="D393" s="1"/>
      <c r="E393" s="1"/>
      <c r="F393" s="1"/>
      <c r="G393" s="1"/>
      <c r="H393" s="1"/>
      <c r="I393" s="1"/>
      <c r="J393" s="1"/>
      <c r="K393" s="1"/>
      <c r="L393" s="1"/>
      <c r="M393" s="1"/>
      <c r="N393" s="1"/>
      <c r="O393" s="1"/>
      <c r="Q393" s="1"/>
      <c r="R393" s="2"/>
      <c r="S393" s="1"/>
      <c r="T393" s="1"/>
      <c r="V393" s="1"/>
      <c r="W393" s="1"/>
      <c r="AJ393" s="1"/>
    </row>
    <row r="394" ht="14.25" customHeight="1" spans="1:36" x14ac:dyDescent="0.25">
      <c r="A394" s="1"/>
      <c r="B394" s="1"/>
      <c r="C394" s="1"/>
      <c r="D394" s="1"/>
      <c r="E394" s="1"/>
      <c r="F394" s="1"/>
      <c r="G394" s="1"/>
      <c r="H394" s="1"/>
      <c r="I394" s="1"/>
      <c r="J394" s="1"/>
      <c r="K394" s="1"/>
      <c r="L394" s="1"/>
      <c r="M394" s="1"/>
      <c r="N394" s="1"/>
      <c r="O394" s="1"/>
      <c r="Q394" s="1"/>
      <c r="R394" s="2"/>
      <c r="S394" s="1"/>
      <c r="T394" s="1"/>
      <c r="V394" s="1"/>
      <c r="W394" s="1"/>
      <c r="AJ394" s="1"/>
    </row>
    <row r="395" ht="14.25" customHeight="1" spans="1:36" x14ac:dyDescent="0.25">
      <c r="A395" s="1"/>
      <c r="B395" s="1"/>
      <c r="C395" s="1"/>
      <c r="D395" s="1"/>
      <c r="E395" s="1"/>
      <c r="F395" s="1"/>
      <c r="G395" s="1"/>
      <c r="H395" s="1"/>
      <c r="I395" s="1"/>
      <c r="J395" s="1"/>
      <c r="K395" s="1"/>
      <c r="L395" s="1"/>
      <c r="M395" s="1"/>
      <c r="N395" s="1"/>
      <c r="O395" s="1"/>
      <c r="Q395" s="1"/>
      <c r="R395" s="2"/>
      <c r="S395" s="1"/>
      <c r="T395" s="1"/>
      <c r="V395" s="1"/>
      <c r="W395" s="1"/>
      <c r="AJ395" s="1"/>
    </row>
    <row r="396" ht="14.25" customHeight="1" spans="1:36" x14ac:dyDescent="0.25">
      <c r="A396" s="1"/>
      <c r="B396" s="1"/>
      <c r="C396" s="1"/>
      <c r="D396" s="1"/>
      <c r="E396" s="1"/>
      <c r="F396" s="1"/>
      <c r="G396" s="1"/>
      <c r="H396" s="1"/>
      <c r="I396" s="1"/>
      <c r="J396" s="1"/>
      <c r="K396" s="1"/>
      <c r="L396" s="1"/>
      <c r="M396" s="1"/>
      <c r="N396" s="1"/>
      <c r="O396" s="1"/>
      <c r="Q396" s="1"/>
      <c r="R396" s="2"/>
      <c r="S396" s="1"/>
      <c r="T396" s="1"/>
      <c r="V396" s="1"/>
      <c r="W396" s="1"/>
      <c r="AJ396" s="1"/>
    </row>
    <row r="397" ht="14.25" customHeight="1" spans="1:36" x14ac:dyDescent="0.25">
      <c r="A397" s="1"/>
      <c r="B397" s="1"/>
      <c r="C397" s="1"/>
      <c r="D397" s="1"/>
      <c r="E397" s="1"/>
      <c r="F397" s="1"/>
      <c r="G397" s="1"/>
      <c r="H397" s="1"/>
      <c r="I397" s="1"/>
      <c r="J397" s="1"/>
      <c r="K397" s="1"/>
      <c r="L397" s="1"/>
      <c r="M397" s="1"/>
      <c r="N397" s="1"/>
      <c r="O397" s="1"/>
      <c r="Q397" s="1"/>
      <c r="R397" s="2"/>
      <c r="S397" s="1"/>
      <c r="T397" s="1"/>
      <c r="V397" s="1"/>
      <c r="W397" s="1"/>
      <c r="AJ397" s="1"/>
    </row>
    <row r="398" ht="14.25" customHeight="1" spans="1:36" x14ac:dyDescent="0.25">
      <c r="A398" s="1"/>
      <c r="B398" s="1"/>
      <c r="C398" s="1"/>
      <c r="D398" s="1"/>
      <c r="E398" s="1"/>
      <c r="F398" s="1"/>
      <c r="G398" s="1"/>
      <c r="H398" s="1"/>
      <c r="I398" s="1"/>
      <c r="J398" s="1"/>
      <c r="K398" s="1"/>
      <c r="L398" s="1"/>
      <c r="M398" s="1"/>
      <c r="N398" s="1"/>
      <c r="O398" s="1"/>
      <c r="Q398" s="1"/>
      <c r="R398" s="2"/>
      <c r="S398" s="1"/>
      <c r="T398" s="1"/>
      <c r="V398" s="1"/>
      <c r="W398" s="1"/>
      <c r="AJ398" s="1"/>
    </row>
    <row r="399" ht="14.25" customHeight="1" spans="1:36" x14ac:dyDescent="0.25">
      <c r="A399" s="1"/>
      <c r="B399" s="1"/>
      <c r="C399" s="1"/>
      <c r="D399" s="1"/>
      <c r="E399" s="1"/>
      <c r="F399" s="1"/>
      <c r="G399" s="1"/>
      <c r="H399" s="1"/>
      <c r="I399" s="1"/>
      <c r="J399" s="1"/>
      <c r="K399" s="1"/>
      <c r="L399" s="1"/>
      <c r="M399" s="1"/>
      <c r="N399" s="1"/>
      <c r="O399" s="1"/>
      <c r="Q399" s="1"/>
      <c r="R399" s="2"/>
      <c r="S399" s="1"/>
      <c r="T399" s="1"/>
      <c r="V399" s="1"/>
      <c r="W399" s="1"/>
      <c r="AJ399" s="1"/>
    </row>
    <row r="400" ht="14.25" customHeight="1" spans="1:36" x14ac:dyDescent="0.25">
      <c r="A400" s="1"/>
      <c r="B400" s="1"/>
      <c r="C400" s="1"/>
      <c r="D400" s="1"/>
      <c r="E400" s="1"/>
      <c r="F400" s="1"/>
      <c r="G400" s="1"/>
      <c r="H400" s="1"/>
      <c r="I400" s="1"/>
      <c r="J400" s="1"/>
      <c r="K400" s="1"/>
      <c r="L400" s="1"/>
      <c r="M400" s="1"/>
      <c r="N400" s="1"/>
      <c r="O400" s="1"/>
      <c r="Q400" s="1"/>
      <c r="R400" s="2"/>
      <c r="S400" s="1"/>
      <c r="T400" s="1"/>
      <c r="V400" s="1"/>
      <c r="W400" s="1"/>
      <c r="AJ400" s="1"/>
    </row>
    <row r="401" ht="14.25" customHeight="1" spans="1:36" x14ac:dyDescent="0.25">
      <c r="A401" s="1"/>
      <c r="B401" s="1"/>
      <c r="C401" s="1"/>
      <c r="D401" s="1"/>
      <c r="E401" s="1"/>
      <c r="F401" s="1"/>
      <c r="G401" s="1"/>
      <c r="H401" s="1"/>
      <c r="I401" s="1"/>
      <c r="J401" s="1"/>
      <c r="K401" s="1"/>
      <c r="L401" s="1"/>
      <c r="M401" s="1"/>
      <c r="N401" s="1"/>
      <c r="O401" s="1"/>
      <c r="Q401" s="1"/>
      <c r="R401" s="2"/>
      <c r="S401" s="1"/>
      <c r="T401" s="1"/>
      <c r="V401" s="1"/>
      <c r="W401" s="1"/>
      <c r="AJ401" s="1"/>
    </row>
    <row r="402" ht="14.25" customHeight="1" spans="1:36" x14ac:dyDescent="0.25">
      <c r="A402" s="1"/>
      <c r="B402" s="1"/>
      <c r="C402" s="1"/>
      <c r="D402" s="1"/>
      <c r="E402" s="1"/>
      <c r="F402" s="1"/>
      <c r="G402" s="1"/>
      <c r="H402" s="1"/>
      <c r="I402" s="1"/>
      <c r="J402" s="1"/>
      <c r="K402" s="1"/>
      <c r="L402" s="1"/>
      <c r="M402" s="1"/>
      <c r="N402" s="1"/>
      <c r="O402" s="1"/>
      <c r="Q402" s="1"/>
      <c r="R402" s="2"/>
      <c r="S402" s="1"/>
      <c r="T402" s="1"/>
      <c r="V402" s="1"/>
      <c r="W402" s="1"/>
      <c r="AJ402" s="1"/>
    </row>
    <row r="403" ht="14.25" customHeight="1" spans="1:36" x14ac:dyDescent="0.25">
      <c r="A403" s="1"/>
      <c r="B403" s="1"/>
      <c r="C403" s="1"/>
      <c r="D403" s="1"/>
      <c r="E403" s="1"/>
      <c r="F403" s="1"/>
      <c r="G403" s="1"/>
      <c r="H403" s="1"/>
      <c r="I403" s="1"/>
      <c r="J403" s="1"/>
      <c r="K403" s="1"/>
      <c r="L403" s="1"/>
      <c r="M403" s="1"/>
      <c r="N403" s="1"/>
      <c r="O403" s="1"/>
      <c r="Q403" s="1"/>
      <c r="R403" s="2"/>
      <c r="S403" s="1"/>
      <c r="T403" s="1"/>
      <c r="V403" s="1"/>
      <c r="W403" s="1"/>
      <c r="AJ403" s="1"/>
    </row>
    <row r="404" ht="14.25" customHeight="1" spans="1:36" x14ac:dyDescent="0.25">
      <c r="A404" s="1"/>
      <c r="B404" s="1"/>
      <c r="C404" s="1"/>
      <c r="D404" s="1"/>
      <c r="E404" s="1"/>
      <c r="F404" s="1"/>
      <c r="G404" s="1"/>
      <c r="H404" s="1"/>
      <c r="I404" s="1"/>
      <c r="J404" s="1"/>
      <c r="K404" s="1"/>
      <c r="L404" s="1"/>
      <c r="M404" s="1"/>
      <c r="N404" s="1"/>
      <c r="O404" s="1"/>
      <c r="Q404" s="1"/>
      <c r="R404" s="2"/>
      <c r="S404" s="1"/>
      <c r="T404" s="1"/>
      <c r="V404" s="1"/>
      <c r="W404" s="1"/>
      <c r="AJ404" s="1"/>
    </row>
    <row r="405" ht="14.25" customHeight="1" spans="1:36" x14ac:dyDescent="0.25">
      <c r="A405" s="1"/>
      <c r="B405" s="1"/>
      <c r="C405" s="1"/>
      <c r="D405" s="1"/>
      <c r="E405" s="1"/>
      <c r="F405" s="1"/>
      <c r="G405" s="1"/>
      <c r="H405" s="1"/>
      <c r="I405" s="1"/>
      <c r="J405" s="1"/>
      <c r="K405" s="1"/>
      <c r="L405" s="1"/>
      <c r="M405" s="1"/>
      <c r="N405" s="1"/>
      <c r="O405" s="1"/>
      <c r="Q405" s="1"/>
      <c r="R405" s="2"/>
      <c r="S405" s="1"/>
      <c r="T405" s="1"/>
      <c r="V405" s="1"/>
      <c r="W405" s="1"/>
      <c r="AJ405" s="1"/>
    </row>
    <row r="406" ht="14.25" customHeight="1" spans="1:36" x14ac:dyDescent="0.25">
      <c r="A406" s="1"/>
      <c r="B406" s="1"/>
      <c r="C406" s="1"/>
      <c r="D406" s="1"/>
      <c r="E406" s="1"/>
      <c r="F406" s="1"/>
      <c r="G406" s="1"/>
      <c r="H406" s="1"/>
      <c r="I406" s="1"/>
      <c r="J406" s="1"/>
      <c r="K406" s="1"/>
      <c r="L406" s="1"/>
      <c r="M406" s="1"/>
      <c r="N406" s="1"/>
      <c r="O406" s="1"/>
      <c r="Q406" s="1"/>
      <c r="R406" s="2"/>
      <c r="S406" s="1"/>
      <c r="T406" s="1"/>
      <c r="V406" s="1"/>
      <c r="W406" s="1"/>
      <c r="AJ406" s="1"/>
    </row>
    <row r="407" ht="14.25" customHeight="1" spans="1:36" x14ac:dyDescent="0.25">
      <c r="A407" s="1"/>
      <c r="B407" s="1"/>
      <c r="C407" s="1"/>
      <c r="D407" s="1"/>
      <c r="E407" s="1"/>
      <c r="F407" s="1"/>
      <c r="G407" s="1"/>
      <c r="H407" s="1"/>
      <c r="I407" s="1"/>
      <c r="J407" s="1"/>
      <c r="K407" s="1"/>
      <c r="L407" s="1"/>
      <c r="M407" s="1"/>
      <c r="N407" s="1"/>
      <c r="O407" s="1"/>
      <c r="Q407" s="1"/>
      <c r="R407" s="2"/>
      <c r="S407" s="1"/>
      <c r="T407" s="1"/>
      <c r="V407" s="1"/>
      <c r="W407" s="1"/>
      <c r="AJ407" s="1"/>
    </row>
    <row r="408" ht="14.25" customHeight="1" spans="1:36" x14ac:dyDescent="0.25">
      <c r="A408" s="1"/>
      <c r="B408" s="1"/>
      <c r="C408" s="1"/>
      <c r="D408" s="1"/>
      <c r="E408" s="1"/>
      <c r="F408" s="1"/>
      <c r="G408" s="1"/>
      <c r="H408" s="1"/>
      <c r="I408" s="1"/>
      <c r="J408" s="1"/>
      <c r="K408" s="1"/>
      <c r="L408" s="1"/>
      <c r="M408" s="1"/>
      <c r="N408" s="1"/>
      <c r="O408" s="1"/>
      <c r="Q408" s="1"/>
      <c r="R408" s="2"/>
      <c r="S408" s="1"/>
      <c r="T408" s="1"/>
      <c r="V408" s="1"/>
      <c r="W408" s="1"/>
      <c r="AJ408" s="1"/>
    </row>
    <row r="409" ht="14.25" customHeight="1" spans="1:36" x14ac:dyDescent="0.25">
      <c r="A409" s="1"/>
      <c r="B409" s="1"/>
      <c r="C409" s="1"/>
      <c r="D409" s="1"/>
      <c r="E409" s="1"/>
      <c r="F409" s="1"/>
      <c r="G409" s="1"/>
      <c r="H409" s="1"/>
      <c r="I409" s="1"/>
      <c r="J409" s="1"/>
      <c r="K409" s="1"/>
      <c r="L409" s="1"/>
      <c r="M409" s="1"/>
      <c r="N409" s="1"/>
      <c r="O409" s="1"/>
      <c r="Q409" s="1"/>
      <c r="R409" s="2"/>
      <c r="S409" s="1"/>
      <c r="T409" s="1"/>
      <c r="V409" s="1"/>
      <c r="W409" s="1"/>
      <c r="AJ409" s="1"/>
    </row>
    <row r="410" ht="14.25" customHeight="1" spans="1:36" x14ac:dyDescent="0.25">
      <c r="A410" s="1"/>
      <c r="B410" s="1"/>
      <c r="C410" s="1"/>
      <c r="D410" s="1"/>
      <c r="E410" s="1"/>
      <c r="F410" s="1"/>
      <c r="G410" s="1"/>
      <c r="H410" s="1"/>
      <c r="I410" s="1"/>
      <c r="J410" s="1"/>
      <c r="K410" s="1"/>
      <c r="L410" s="1"/>
      <c r="M410" s="1"/>
      <c r="N410" s="1"/>
      <c r="O410" s="1"/>
      <c r="Q410" s="1"/>
      <c r="R410" s="2"/>
      <c r="S410" s="1"/>
      <c r="T410" s="1"/>
      <c r="V410" s="1"/>
      <c r="W410" s="1"/>
      <c r="AJ410" s="1"/>
    </row>
    <row r="411" ht="14.25" customHeight="1" spans="1:36" x14ac:dyDescent="0.25">
      <c r="A411" s="1"/>
      <c r="B411" s="1"/>
      <c r="C411" s="1"/>
      <c r="D411" s="1"/>
      <c r="E411" s="1"/>
      <c r="F411" s="1"/>
      <c r="G411" s="1"/>
      <c r="H411" s="1"/>
      <c r="I411" s="1"/>
      <c r="J411" s="1"/>
      <c r="K411" s="1"/>
      <c r="L411" s="1"/>
      <c r="M411" s="1"/>
      <c r="N411" s="1"/>
      <c r="O411" s="1"/>
      <c r="Q411" s="1"/>
      <c r="R411" s="2"/>
      <c r="S411" s="1"/>
      <c r="T411" s="1"/>
      <c r="V411" s="1"/>
      <c r="W411" s="1"/>
      <c r="AJ411" s="1"/>
    </row>
    <row r="412" ht="14.25" customHeight="1" spans="1:36" x14ac:dyDescent="0.25">
      <c r="A412" s="1"/>
      <c r="B412" s="1"/>
      <c r="C412" s="1"/>
      <c r="D412" s="1"/>
      <c r="E412" s="1"/>
      <c r="F412" s="1"/>
      <c r="G412" s="1"/>
      <c r="H412" s="1"/>
      <c r="I412" s="1"/>
      <c r="J412" s="1"/>
      <c r="K412" s="1"/>
      <c r="L412" s="1"/>
      <c r="M412" s="1"/>
      <c r="N412" s="1"/>
      <c r="O412" s="1"/>
      <c r="Q412" s="1"/>
      <c r="R412" s="2"/>
      <c r="S412" s="1"/>
      <c r="T412" s="1"/>
      <c r="V412" s="1"/>
      <c r="W412" s="1"/>
      <c r="AJ412" s="1"/>
    </row>
    <row r="413" ht="14.25" customHeight="1" spans="1:36" x14ac:dyDescent="0.25">
      <c r="A413" s="1"/>
      <c r="B413" s="1"/>
      <c r="C413" s="1"/>
      <c r="D413" s="1"/>
      <c r="E413" s="1"/>
      <c r="F413" s="1"/>
      <c r="G413" s="1"/>
      <c r="H413" s="1"/>
      <c r="I413" s="1"/>
      <c r="J413" s="1"/>
      <c r="K413" s="1"/>
      <c r="L413" s="1"/>
      <c r="M413" s="1"/>
      <c r="N413" s="1"/>
      <c r="O413" s="1"/>
      <c r="Q413" s="1"/>
      <c r="R413" s="2"/>
      <c r="S413" s="1"/>
      <c r="T413" s="1"/>
      <c r="V413" s="1"/>
      <c r="W413" s="1"/>
      <c r="AJ413" s="1"/>
    </row>
    <row r="414" ht="14.25" customHeight="1" spans="1:36" x14ac:dyDescent="0.25">
      <c r="A414" s="1"/>
      <c r="B414" s="1"/>
      <c r="C414" s="1"/>
      <c r="D414" s="1"/>
      <c r="E414" s="1"/>
      <c r="F414" s="1"/>
      <c r="G414" s="1"/>
      <c r="H414" s="1"/>
      <c r="I414" s="1"/>
      <c r="J414" s="1"/>
      <c r="K414" s="1"/>
      <c r="L414" s="1"/>
      <c r="M414" s="1"/>
      <c r="N414" s="1"/>
      <c r="O414" s="1"/>
      <c r="Q414" s="1"/>
      <c r="R414" s="2"/>
      <c r="S414" s="1"/>
      <c r="T414" s="1"/>
      <c r="V414" s="1"/>
      <c r="W414" s="1"/>
      <c r="AJ414" s="1"/>
    </row>
    <row r="415" ht="14.25" customHeight="1" spans="1:36" x14ac:dyDescent="0.25">
      <c r="A415" s="1"/>
      <c r="B415" s="1"/>
      <c r="C415" s="1"/>
      <c r="D415" s="1"/>
      <c r="E415" s="1"/>
      <c r="F415" s="1"/>
      <c r="G415" s="1"/>
      <c r="H415" s="1"/>
      <c r="I415" s="1"/>
      <c r="J415" s="1"/>
      <c r="K415" s="1"/>
      <c r="L415" s="1"/>
      <c r="M415" s="1"/>
      <c r="N415" s="1"/>
      <c r="O415" s="1"/>
      <c r="Q415" s="1"/>
      <c r="R415" s="2"/>
      <c r="S415" s="1"/>
      <c r="T415" s="1"/>
      <c r="V415" s="1"/>
      <c r="W415" s="1"/>
      <c r="AJ415" s="1"/>
    </row>
    <row r="416" ht="14.25" customHeight="1" spans="1:36" x14ac:dyDescent="0.25">
      <c r="A416" s="1"/>
      <c r="B416" s="1"/>
      <c r="C416" s="1"/>
      <c r="D416" s="1"/>
      <c r="E416" s="1"/>
      <c r="F416" s="1"/>
      <c r="G416" s="1"/>
      <c r="H416" s="1"/>
      <c r="I416" s="1"/>
      <c r="J416" s="1"/>
      <c r="K416" s="1"/>
      <c r="L416" s="1"/>
      <c r="M416" s="1"/>
      <c r="N416" s="1"/>
      <c r="O416" s="1"/>
      <c r="Q416" s="1"/>
      <c r="R416" s="2"/>
      <c r="S416" s="1"/>
      <c r="T416" s="1"/>
      <c r="V416" s="1"/>
      <c r="W416" s="1"/>
      <c r="AJ416" s="1"/>
    </row>
    <row r="417" ht="14.25" customHeight="1" spans="1:36" x14ac:dyDescent="0.25">
      <c r="A417" s="1"/>
      <c r="B417" s="1"/>
      <c r="C417" s="1"/>
      <c r="D417" s="1"/>
      <c r="E417" s="1"/>
      <c r="F417" s="1"/>
      <c r="G417" s="1"/>
      <c r="H417" s="1"/>
      <c r="I417" s="1"/>
      <c r="J417" s="1"/>
      <c r="K417" s="1"/>
      <c r="L417" s="1"/>
      <c r="M417" s="1"/>
      <c r="N417" s="1"/>
      <c r="O417" s="1"/>
      <c r="Q417" s="1"/>
      <c r="R417" s="2"/>
      <c r="S417" s="1"/>
      <c r="T417" s="1"/>
      <c r="V417" s="1"/>
      <c r="W417" s="1"/>
      <c r="AJ417" s="1"/>
    </row>
    <row r="418" ht="14.25" customHeight="1" spans="1:36" x14ac:dyDescent="0.25">
      <c r="A418" s="1"/>
      <c r="B418" s="1"/>
      <c r="C418" s="1"/>
      <c r="D418" s="1"/>
      <c r="E418" s="1"/>
      <c r="F418" s="1"/>
      <c r="G418" s="1"/>
      <c r="H418" s="1"/>
      <c r="I418" s="1"/>
      <c r="J418" s="1"/>
      <c r="K418" s="1"/>
      <c r="L418" s="1"/>
      <c r="M418" s="1"/>
      <c r="N418" s="1"/>
      <c r="O418" s="1"/>
      <c r="Q418" s="1"/>
      <c r="R418" s="2"/>
      <c r="S418" s="1"/>
      <c r="T418" s="1"/>
      <c r="V418" s="1"/>
      <c r="W418" s="1"/>
      <c r="AJ418" s="1"/>
    </row>
    <row r="419" ht="14.25" customHeight="1" spans="1:36" x14ac:dyDescent="0.25">
      <c r="A419" s="1"/>
      <c r="B419" s="1"/>
      <c r="C419" s="1"/>
      <c r="D419" s="1"/>
      <c r="E419" s="1"/>
      <c r="F419" s="1"/>
      <c r="G419" s="1"/>
      <c r="H419" s="1"/>
      <c r="I419" s="1"/>
      <c r="J419" s="1"/>
      <c r="K419" s="1"/>
      <c r="L419" s="1"/>
      <c r="M419" s="1"/>
      <c r="N419" s="1"/>
      <c r="O419" s="1"/>
      <c r="Q419" s="1"/>
      <c r="R419" s="2"/>
      <c r="S419" s="1"/>
      <c r="T419" s="1"/>
      <c r="V419" s="1"/>
      <c r="W419" s="1"/>
      <c r="AJ419" s="1"/>
    </row>
    <row r="420" ht="14.25" customHeight="1" spans="1:36" x14ac:dyDescent="0.25">
      <c r="A420" s="1"/>
      <c r="B420" s="1"/>
      <c r="C420" s="1"/>
      <c r="D420" s="1"/>
      <c r="E420" s="1"/>
      <c r="F420" s="1"/>
      <c r="G420" s="1"/>
      <c r="H420" s="1"/>
      <c r="I420" s="1"/>
      <c r="J420" s="1"/>
      <c r="K420" s="1"/>
      <c r="L420" s="1"/>
      <c r="M420" s="1"/>
      <c r="N420" s="1"/>
      <c r="O420" s="1"/>
      <c r="Q420" s="1"/>
      <c r="R420" s="2"/>
      <c r="S420" s="1"/>
      <c r="T420" s="1"/>
      <c r="V420" s="1"/>
      <c r="W420" s="1"/>
      <c r="AJ420" s="1"/>
    </row>
    <row r="421" ht="14.25" customHeight="1" spans="1:36" x14ac:dyDescent="0.25">
      <c r="A421" s="1"/>
      <c r="B421" s="1"/>
      <c r="C421" s="1"/>
      <c r="D421" s="1"/>
      <c r="E421" s="1"/>
      <c r="F421" s="1"/>
      <c r="G421" s="1"/>
      <c r="H421" s="1"/>
      <c r="I421" s="1"/>
      <c r="J421" s="1"/>
      <c r="K421" s="1"/>
      <c r="L421" s="1"/>
      <c r="M421" s="1"/>
      <c r="N421" s="1"/>
      <c r="O421" s="1"/>
      <c r="Q421" s="1"/>
      <c r="R421" s="2"/>
      <c r="S421" s="1"/>
      <c r="T421" s="1"/>
      <c r="V421" s="1"/>
      <c r="W421" s="1"/>
      <c r="AJ421" s="1"/>
    </row>
    <row r="422" ht="14.25" customHeight="1" spans="1:36" x14ac:dyDescent="0.25">
      <c r="A422" s="1"/>
      <c r="B422" s="1"/>
      <c r="C422" s="1"/>
      <c r="D422" s="1"/>
      <c r="E422" s="1"/>
      <c r="F422" s="1"/>
      <c r="G422" s="1"/>
      <c r="H422" s="1"/>
      <c r="I422" s="1"/>
      <c r="J422" s="1"/>
      <c r="K422" s="1"/>
      <c r="L422" s="1"/>
      <c r="M422" s="1"/>
      <c r="N422" s="1"/>
      <c r="O422" s="1"/>
      <c r="Q422" s="1"/>
      <c r="R422" s="2"/>
      <c r="S422" s="1"/>
      <c r="T422" s="1"/>
      <c r="V422" s="1"/>
      <c r="W422" s="1"/>
      <c r="AJ422" s="1"/>
    </row>
    <row r="423" ht="14.25" customHeight="1" spans="1:36" x14ac:dyDescent="0.25">
      <c r="A423" s="1"/>
      <c r="B423" s="1"/>
      <c r="C423" s="1"/>
      <c r="D423" s="1"/>
      <c r="E423" s="1"/>
      <c r="F423" s="1"/>
      <c r="G423" s="1"/>
      <c r="H423" s="1"/>
      <c r="I423" s="1"/>
      <c r="J423" s="1"/>
      <c r="K423" s="1"/>
      <c r="L423" s="1"/>
      <c r="M423" s="1"/>
      <c r="N423" s="1"/>
      <c r="O423" s="1"/>
      <c r="Q423" s="1"/>
      <c r="R423" s="2"/>
      <c r="S423" s="1"/>
      <c r="T423" s="1"/>
      <c r="V423" s="1"/>
      <c r="W423" s="1"/>
      <c r="AJ423" s="1"/>
    </row>
    <row r="424" ht="14.25" customHeight="1" spans="1:36" x14ac:dyDescent="0.25">
      <c r="A424" s="1"/>
      <c r="B424" s="1"/>
      <c r="C424" s="1"/>
      <c r="D424" s="1"/>
      <c r="E424" s="1"/>
      <c r="F424" s="1"/>
      <c r="G424" s="1"/>
      <c r="H424" s="1"/>
      <c r="I424" s="1"/>
      <c r="J424" s="1"/>
      <c r="K424" s="1"/>
      <c r="L424" s="1"/>
      <c r="M424" s="1"/>
      <c r="N424" s="1"/>
      <c r="O424" s="1"/>
      <c r="Q424" s="1"/>
      <c r="R424" s="2"/>
      <c r="S424" s="1"/>
      <c r="T424" s="1"/>
      <c r="V424" s="1"/>
      <c r="W424" s="1"/>
      <c r="AJ424" s="1"/>
    </row>
    <row r="425" ht="14.25" customHeight="1" spans="1:36" x14ac:dyDescent="0.25">
      <c r="A425" s="1"/>
      <c r="B425" s="1"/>
      <c r="C425" s="1"/>
      <c r="D425" s="1"/>
      <c r="E425" s="1"/>
      <c r="F425" s="1"/>
      <c r="G425" s="1"/>
      <c r="H425" s="1"/>
      <c r="I425" s="1"/>
      <c r="J425" s="1"/>
      <c r="K425" s="1"/>
      <c r="L425" s="1"/>
      <c r="M425" s="1"/>
      <c r="N425" s="1"/>
      <c r="O425" s="1"/>
      <c r="Q425" s="1"/>
      <c r="R425" s="2"/>
      <c r="S425" s="1"/>
      <c r="T425" s="1"/>
      <c r="V425" s="1"/>
      <c r="W425" s="1"/>
      <c r="AJ425" s="1"/>
    </row>
    <row r="426" ht="14.25" customHeight="1" spans="1:36" x14ac:dyDescent="0.25">
      <c r="A426" s="1"/>
      <c r="B426" s="1"/>
      <c r="C426" s="1"/>
      <c r="D426" s="1"/>
      <c r="E426" s="1"/>
      <c r="F426" s="1"/>
      <c r="G426" s="1"/>
      <c r="H426" s="1"/>
      <c r="I426" s="1"/>
      <c r="J426" s="1"/>
      <c r="K426" s="1"/>
      <c r="L426" s="1"/>
      <c r="M426" s="1"/>
      <c r="N426" s="1"/>
      <c r="O426" s="1"/>
      <c r="Q426" s="1"/>
      <c r="R426" s="2"/>
      <c r="S426" s="1"/>
      <c r="T426" s="1"/>
      <c r="V426" s="1"/>
      <c r="W426" s="1"/>
      <c r="AJ426" s="1"/>
    </row>
    <row r="427" ht="14.25" customHeight="1" spans="1:36" x14ac:dyDescent="0.25">
      <c r="A427" s="1"/>
      <c r="B427" s="1"/>
      <c r="C427" s="1"/>
      <c r="D427" s="1"/>
      <c r="E427" s="1"/>
      <c r="F427" s="1"/>
      <c r="G427" s="1"/>
      <c r="H427" s="1"/>
      <c r="I427" s="1"/>
      <c r="J427" s="1"/>
      <c r="K427" s="1"/>
      <c r="L427" s="1"/>
      <c r="M427" s="1"/>
      <c r="N427" s="1"/>
      <c r="O427" s="1"/>
      <c r="Q427" s="1"/>
      <c r="R427" s="2"/>
      <c r="S427" s="1"/>
      <c r="T427" s="1"/>
      <c r="V427" s="1"/>
      <c r="W427" s="1"/>
      <c r="AJ427" s="1"/>
    </row>
    <row r="428" ht="14.25" customHeight="1" spans="1:36" x14ac:dyDescent="0.25">
      <c r="A428" s="1"/>
      <c r="B428" s="1"/>
      <c r="C428" s="1"/>
      <c r="D428" s="1"/>
      <c r="E428" s="1"/>
      <c r="F428" s="1"/>
      <c r="G428" s="1"/>
      <c r="H428" s="1"/>
      <c r="I428" s="1"/>
      <c r="J428" s="1"/>
      <c r="K428" s="1"/>
      <c r="L428" s="1"/>
      <c r="M428" s="1"/>
      <c r="N428" s="1"/>
      <c r="O428" s="1"/>
      <c r="Q428" s="1"/>
      <c r="R428" s="2"/>
      <c r="S428" s="1"/>
      <c r="T428" s="1"/>
      <c r="V428" s="1"/>
      <c r="W428" s="1"/>
      <c r="AJ428" s="1"/>
    </row>
    <row r="429" ht="14.25" customHeight="1" spans="1:36" x14ac:dyDescent="0.25">
      <c r="A429" s="1"/>
      <c r="B429" s="1"/>
      <c r="C429" s="1"/>
      <c r="D429" s="1"/>
      <c r="E429" s="1"/>
      <c r="F429" s="1"/>
      <c r="G429" s="1"/>
      <c r="H429" s="1"/>
      <c r="I429" s="1"/>
      <c r="J429" s="1"/>
      <c r="K429" s="1"/>
      <c r="L429" s="1"/>
      <c r="M429" s="1"/>
      <c r="N429" s="1"/>
      <c r="O429" s="1"/>
      <c r="Q429" s="1"/>
      <c r="R429" s="2"/>
      <c r="S429" s="1"/>
      <c r="T429" s="1"/>
      <c r="V429" s="1"/>
      <c r="W429" s="1"/>
      <c r="AJ429" s="1"/>
    </row>
    <row r="430" ht="14.25" customHeight="1" spans="1:36" x14ac:dyDescent="0.25">
      <c r="A430" s="1"/>
      <c r="B430" s="1"/>
      <c r="C430" s="1"/>
      <c r="D430" s="1"/>
      <c r="E430" s="1"/>
      <c r="F430" s="1"/>
      <c r="G430" s="1"/>
      <c r="H430" s="1"/>
      <c r="I430" s="1"/>
      <c r="J430" s="1"/>
      <c r="K430" s="1"/>
      <c r="L430" s="1"/>
      <c r="M430" s="1"/>
      <c r="N430" s="1"/>
      <c r="O430" s="1"/>
      <c r="Q430" s="1"/>
      <c r="R430" s="2"/>
      <c r="S430" s="1"/>
      <c r="T430" s="1"/>
      <c r="V430" s="1"/>
      <c r="W430" s="1"/>
      <c r="AJ430" s="1"/>
    </row>
    <row r="431" ht="14.25" customHeight="1" spans="1:36" x14ac:dyDescent="0.25">
      <c r="A431" s="1"/>
      <c r="B431" s="1"/>
      <c r="C431" s="1"/>
      <c r="D431" s="1"/>
      <c r="E431" s="1"/>
      <c r="F431" s="1"/>
      <c r="G431" s="1"/>
      <c r="H431" s="1"/>
      <c r="I431" s="1"/>
      <c r="J431" s="1"/>
      <c r="K431" s="1"/>
      <c r="L431" s="1"/>
      <c r="M431" s="1"/>
      <c r="N431" s="1"/>
      <c r="O431" s="1"/>
      <c r="Q431" s="1"/>
      <c r="R431" s="2"/>
      <c r="S431" s="1"/>
      <c r="T431" s="1"/>
      <c r="V431" s="1"/>
      <c r="W431" s="1"/>
      <c r="AJ431" s="1"/>
    </row>
    <row r="432" ht="14.25" customHeight="1" spans="1:36" x14ac:dyDescent="0.25">
      <c r="A432" s="1"/>
      <c r="B432" s="1"/>
      <c r="C432" s="1"/>
      <c r="D432" s="1"/>
      <c r="E432" s="1"/>
      <c r="F432" s="1"/>
      <c r="G432" s="1"/>
      <c r="H432" s="1"/>
      <c r="I432" s="1"/>
      <c r="J432" s="1"/>
      <c r="K432" s="1"/>
      <c r="L432" s="1"/>
      <c r="M432" s="1"/>
      <c r="N432" s="1"/>
      <c r="O432" s="1"/>
      <c r="Q432" s="1"/>
      <c r="R432" s="2"/>
      <c r="S432" s="1"/>
      <c r="T432" s="1"/>
      <c r="V432" s="1"/>
      <c r="W432" s="1"/>
      <c r="AJ432" s="1"/>
    </row>
    <row r="433" ht="14.25" customHeight="1" spans="1:36" x14ac:dyDescent="0.25">
      <c r="A433" s="1"/>
      <c r="B433" s="1"/>
      <c r="C433" s="1"/>
      <c r="D433" s="1"/>
      <c r="E433" s="1"/>
      <c r="F433" s="1"/>
      <c r="G433" s="1"/>
      <c r="H433" s="1"/>
      <c r="I433" s="1"/>
      <c r="J433" s="1"/>
      <c r="K433" s="1"/>
      <c r="L433" s="1"/>
      <c r="M433" s="1"/>
      <c r="N433" s="1"/>
      <c r="O433" s="1"/>
      <c r="Q433" s="1"/>
      <c r="R433" s="2"/>
      <c r="S433" s="1"/>
      <c r="T433" s="1"/>
      <c r="V433" s="1"/>
      <c r="W433" s="1"/>
      <c r="AJ433" s="1"/>
    </row>
    <row r="434" ht="14.25" customHeight="1" spans="1:36" x14ac:dyDescent="0.25">
      <c r="A434" s="1"/>
      <c r="B434" s="1"/>
      <c r="C434" s="1"/>
      <c r="D434" s="1"/>
      <c r="E434" s="1"/>
      <c r="F434" s="1"/>
      <c r="G434" s="1"/>
      <c r="H434" s="1"/>
      <c r="I434" s="1"/>
      <c r="J434" s="1"/>
      <c r="K434" s="1"/>
      <c r="L434" s="1"/>
      <c r="M434" s="1"/>
      <c r="N434" s="1"/>
      <c r="O434" s="1"/>
      <c r="Q434" s="1"/>
      <c r="R434" s="2"/>
      <c r="S434" s="1"/>
      <c r="T434" s="1"/>
      <c r="V434" s="1"/>
      <c r="W434" s="1"/>
      <c r="AJ434" s="1"/>
    </row>
    <row r="435" ht="14.25" customHeight="1" spans="1:36" x14ac:dyDescent="0.25">
      <c r="A435" s="1"/>
      <c r="B435" s="1"/>
      <c r="C435" s="1"/>
      <c r="D435" s="1"/>
      <c r="E435" s="1"/>
      <c r="F435" s="1"/>
      <c r="G435" s="1"/>
      <c r="H435" s="1"/>
      <c r="I435" s="1"/>
      <c r="J435" s="1"/>
      <c r="K435" s="1"/>
      <c r="L435" s="1"/>
      <c r="M435" s="1"/>
      <c r="N435" s="1"/>
      <c r="O435" s="1"/>
      <c r="Q435" s="1"/>
      <c r="R435" s="2"/>
      <c r="S435" s="1"/>
      <c r="T435" s="1"/>
      <c r="V435" s="1"/>
      <c r="W435" s="1"/>
      <c r="AJ435" s="1"/>
    </row>
    <row r="436" ht="14.25" customHeight="1" spans="1:36" x14ac:dyDescent="0.25">
      <c r="A436" s="1"/>
      <c r="B436" s="1"/>
      <c r="C436" s="1"/>
      <c r="D436" s="1"/>
      <c r="E436" s="1"/>
      <c r="F436" s="1"/>
      <c r="G436" s="1"/>
      <c r="H436" s="1"/>
      <c r="I436" s="1"/>
      <c r="J436" s="1"/>
      <c r="K436" s="1"/>
      <c r="L436" s="1"/>
      <c r="M436" s="1"/>
      <c r="N436" s="1"/>
      <c r="O436" s="1"/>
      <c r="Q436" s="1"/>
      <c r="R436" s="2"/>
      <c r="S436" s="1"/>
      <c r="T436" s="1"/>
      <c r="V436" s="1"/>
      <c r="W436" s="1"/>
      <c r="AJ436" s="1"/>
    </row>
    <row r="437" ht="14.25" customHeight="1" spans="1:36" x14ac:dyDescent="0.25">
      <c r="A437" s="1"/>
      <c r="B437" s="1"/>
      <c r="C437" s="1"/>
      <c r="D437" s="1"/>
      <c r="E437" s="1"/>
      <c r="F437" s="1"/>
      <c r="G437" s="1"/>
      <c r="H437" s="1"/>
      <c r="I437" s="1"/>
      <c r="J437" s="1"/>
      <c r="K437" s="1"/>
      <c r="L437" s="1"/>
      <c r="M437" s="1"/>
      <c r="N437" s="1"/>
      <c r="O437" s="1"/>
      <c r="Q437" s="1"/>
      <c r="R437" s="2"/>
      <c r="S437" s="1"/>
      <c r="T437" s="1"/>
      <c r="V437" s="1"/>
      <c r="W437" s="1"/>
      <c r="AJ437" s="1"/>
    </row>
    <row r="438" ht="14.25" customHeight="1" spans="1:36" x14ac:dyDescent="0.25">
      <c r="A438" s="1"/>
      <c r="B438" s="1"/>
      <c r="C438" s="1"/>
      <c r="D438" s="1"/>
      <c r="E438" s="1"/>
      <c r="F438" s="1"/>
      <c r="G438" s="1"/>
      <c r="H438" s="1"/>
      <c r="I438" s="1"/>
      <c r="J438" s="1"/>
      <c r="K438" s="1"/>
      <c r="L438" s="1"/>
      <c r="M438" s="1"/>
      <c r="N438" s="1"/>
      <c r="O438" s="1"/>
      <c r="Q438" s="1"/>
      <c r="R438" s="2"/>
      <c r="S438" s="1"/>
      <c r="T438" s="1"/>
      <c r="V438" s="1"/>
      <c r="W438" s="1"/>
      <c r="AJ438" s="1"/>
    </row>
    <row r="439" ht="14.25" customHeight="1" spans="1:36" x14ac:dyDescent="0.25">
      <c r="A439" s="1"/>
      <c r="B439" s="1"/>
      <c r="C439" s="1"/>
      <c r="D439" s="1"/>
      <c r="E439" s="1"/>
      <c r="F439" s="1"/>
      <c r="G439" s="1"/>
      <c r="H439" s="1"/>
      <c r="I439" s="1"/>
      <c r="J439" s="1"/>
      <c r="K439" s="1"/>
      <c r="L439" s="1"/>
      <c r="M439" s="1"/>
      <c r="N439" s="1"/>
      <c r="O439" s="1"/>
      <c r="Q439" s="1"/>
      <c r="R439" s="2"/>
      <c r="S439" s="1"/>
      <c r="T439" s="1"/>
      <c r="V439" s="1"/>
      <c r="W439" s="1"/>
      <c r="AJ439" s="1"/>
    </row>
    <row r="440" ht="14.25" customHeight="1" spans="1:36" x14ac:dyDescent="0.25">
      <c r="A440" s="1"/>
      <c r="B440" s="1"/>
      <c r="C440" s="1"/>
      <c r="D440" s="1"/>
      <c r="E440" s="1"/>
      <c r="F440" s="1"/>
      <c r="G440" s="1"/>
      <c r="H440" s="1"/>
      <c r="I440" s="1"/>
      <c r="J440" s="1"/>
      <c r="K440" s="1"/>
      <c r="L440" s="1"/>
      <c r="M440" s="1"/>
      <c r="N440" s="1"/>
      <c r="O440" s="1"/>
      <c r="Q440" s="1"/>
      <c r="R440" s="2"/>
      <c r="S440" s="1"/>
      <c r="T440" s="1"/>
      <c r="V440" s="1"/>
      <c r="W440" s="1"/>
      <c r="AJ440" s="1"/>
    </row>
    <row r="441" ht="14.25" customHeight="1" spans="1:36" x14ac:dyDescent="0.25">
      <c r="A441" s="1"/>
      <c r="B441" s="1"/>
      <c r="C441" s="1"/>
      <c r="D441" s="1"/>
      <c r="E441" s="1"/>
      <c r="F441" s="1"/>
      <c r="G441" s="1"/>
      <c r="H441" s="1"/>
      <c r="I441" s="1"/>
      <c r="J441" s="1"/>
      <c r="K441" s="1"/>
      <c r="L441" s="1"/>
      <c r="M441" s="1"/>
      <c r="N441" s="1"/>
      <c r="O441" s="1"/>
      <c r="Q441" s="1"/>
      <c r="R441" s="2"/>
      <c r="S441" s="1"/>
      <c r="T441" s="1"/>
      <c r="V441" s="1"/>
      <c r="W441" s="1"/>
      <c r="AJ441" s="1"/>
    </row>
    <row r="442" ht="14.25" customHeight="1" spans="1:36" x14ac:dyDescent="0.25">
      <c r="A442" s="1"/>
      <c r="B442" s="1"/>
      <c r="C442" s="1"/>
      <c r="D442" s="1"/>
      <c r="E442" s="1"/>
      <c r="F442" s="1"/>
      <c r="G442" s="1"/>
      <c r="H442" s="1"/>
      <c r="I442" s="1"/>
      <c r="J442" s="1"/>
      <c r="K442" s="1"/>
      <c r="L442" s="1"/>
      <c r="M442" s="1"/>
      <c r="N442" s="1"/>
      <c r="O442" s="1"/>
      <c r="Q442" s="1"/>
      <c r="R442" s="2"/>
      <c r="S442" s="1"/>
      <c r="T442" s="1"/>
      <c r="V442" s="1"/>
      <c r="W442" s="1"/>
      <c r="AJ442" s="1"/>
    </row>
    <row r="443" ht="14.25" customHeight="1" spans="1:36" x14ac:dyDescent="0.25">
      <c r="A443" s="1"/>
      <c r="B443" s="1"/>
      <c r="C443" s="1"/>
      <c r="D443" s="1"/>
      <c r="E443" s="1"/>
      <c r="F443" s="1"/>
      <c r="G443" s="1"/>
      <c r="H443" s="1"/>
      <c r="I443" s="1"/>
      <c r="J443" s="1"/>
      <c r="K443" s="1"/>
      <c r="L443" s="1"/>
      <c r="M443" s="1"/>
      <c r="N443" s="1"/>
      <c r="O443" s="1"/>
      <c r="Q443" s="1"/>
      <c r="R443" s="2"/>
      <c r="S443" s="1"/>
      <c r="T443" s="1"/>
      <c r="V443" s="1"/>
      <c r="W443" s="1"/>
      <c r="AJ443" s="1"/>
    </row>
    <row r="444" ht="14.25" customHeight="1" spans="1:36" x14ac:dyDescent="0.25">
      <c r="A444" s="1"/>
      <c r="B444" s="1"/>
      <c r="C444" s="1"/>
      <c r="D444" s="1"/>
      <c r="E444" s="1"/>
      <c r="F444" s="1"/>
      <c r="G444" s="1"/>
      <c r="H444" s="1"/>
      <c r="I444" s="1"/>
      <c r="J444" s="1"/>
      <c r="K444" s="1"/>
      <c r="L444" s="1"/>
      <c r="M444" s="1"/>
      <c r="N444" s="1"/>
      <c r="O444" s="1"/>
      <c r="Q444" s="1"/>
      <c r="R444" s="2"/>
      <c r="S444" s="1"/>
      <c r="T444" s="1"/>
      <c r="V444" s="1"/>
      <c r="W444" s="1"/>
      <c r="AJ444" s="1"/>
    </row>
    <row r="445" ht="14.25" customHeight="1" spans="1:36" x14ac:dyDescent="0.25">
      <c r="A445" s="1"/>
      <c r="B445" s="1"/>
      <c r="C445" s="1"/>
      <c r="D445" s="1"/>
      <c r="E445" s="1"/>
      <c r="F445" s="1"/>
      <c r="G445" s="1"/>
      <c r="H445" s="1"/>
      <c r="I445" s="1"/>
      <c r="J445" s="1"/>
      <c r="K445" s="1"/>
      <c r="L445" s="1"/>
      <c r="M445" s="1"/>
      <c r="N445" s="1"/>
      <c r="O445" s="1"/>
      <c r="Q445" s="1"/>
      <c r="R445" s="2"/>
      <c r="S445" s="1"/>
      <c r="T445" s="1"/>
      <c r="V445" s="1"/>
      <c r="W445" s="1"/>
      <c r="AJ445" s="1"/>
    </row>
    <row r="446" ht="14.25" customHeight="1" spans="1:36" x14ac:dyDescent="0.25">
      <c r="A446" s="1"/>
      <c r="B446" s="1"/>
      <c r="C446" s="1"/>
      <c r="D446" s="1"/>
      <c r="E446" s="1"/>
      <c r="F446" s="1"/>
      <c r="G446" s="1"/>
      <c r="H446" s="1"/>
      <c r="I446" s="1"/>
      <c r="J446" s="1"/>
      <c r="K446" s="1"/>
      <c r="L446" s="1"/>
      <c r="M446" s="1"/>
      <c r="N446" s="1"/>
      <c r="O446" s="1"/>
      <c r="Q446" s="1"/>
      <c r="R446" s="2"/>
      <c r="S446" s="1"/>
      <c r="T446" s="1"/>
      <c r="V446" s="1"/>
      <c r="W446" s="1"/>
      <c r="AJ446" s="1"/>
    </row>
    <row r="447" ht="14.25" customHeight="1" spans="1:36" x14ac:dyDescent="0.25">
      <c r="A447" s="1"/>
      <c r="B447" s="1"/>
      <c r="C447" s="1"/>
      <c r="D447" s="1"/>
      <c r="E447" s="1"/>
      <c r="F447" s="1"/>
      <c r="G447" s="1"/>
      <c r="H447" s="1"/>
      <c r="I447" s="1"/>
      <c r="J447" s="1"/>
      <c r="K447" s="1"/>
      <c r="L447" s="1"/>
      <c r="M447" s="1"/>
      <c r="N447" s="1"/>
      <c r="O447" s="1"/>
      <c r="Q447" s="1"/>
      <c r="R447" s="2"/>
      <c r="S447" s="1"/>
      <c r="T447" s="1"/>
      <c r="V447" s="1"/>
      <c r="W447" s="1"/>
      <c r="AJ447" s="1"/>
    </row>
    <row r="448" ht="14.25" customHeight="1" spans="1:36" x14ac:dyDescent="0.25">
      <c r="A448" s="1"/>
      <c r="B448" s="1"/>
      <c r="C448" s="1"/>
      <c r="D448" s="1"/>
      <c r="E448" s="1"/>
      <c r="F448" s="1"/>
      <c r="G448" s="1"/>
      <c r="H448" s="1"/>
      <c r="I448" s="1"/>
      <c r="J448" s="1"/>
      <c r="K448" s="1"/>
      <c r="L448" s="1"/>
      <c r="M448" s="1"/>
      <c r="N448" s="1"/>
      <c r="O448" s="1"/>
      <c r="Q448" s="1"/>
      <c r="R448" s="2"/>
      <c r="S448" s="1"/>
      <c r="T448" s="1"/>
      <c r="V448" s="1"/>
      <c r="W448" s="1"/>
      <c r="AJ448" s="1"/>
    </row>
    <row r="449" ht="14.25" customHeight="1" spans="1:36" x14ac:dyDescent="0.25">
      <c r="A449" s="1"/>
      <c r="B449" s="1"/>
      <c r="C449" s="1"/>
      <c r="D449" s="1"/>
      <c r="E449" s="1"/>
      <c r="F449" s="1"/>
      <c r="G449" s="1"/>
      <c r="H449" s="1"/>
      <c r="I449" s="1"/>
      <c r="J449" s="1"/>
      <c r="K449" s="1"/>
      <c r="L449" s="1"/>
      <c r="M449" s="1"/>
      <c r="N449" s="1"/>
      <c r="O449" s="1"/>
      <c r="Q449" s="1"/>
      <c r="R449" s="2"/>
      <c r="S449" s="1"/>
      <c r="T449" s="1"/>
      <c r="V449" s="1"/>
      <c r="W449" s="1"/>
      <c r="AJ449" s="1"/>
    </row>
    <row r="450" ht="14.25" customHeight="1" spans="1:36" x14ac:dyDescent="0.25">
      <c r="A450" s="1"/>
      <c r="B450" s="1"/>
      <c r="C450" s="1"/>
      <c r="D450" s="1"/>
      <c r="E450" s="1"/>
      <c r="F450" s="1"/>
      <c r="G450" s="1"/>
      <c r="H450" s="1"/>
      <c r="I450" s="1"/>
      <c r="J450" s="1"/>
      <c r="K450" s="1"/>
      <c r="L450" s="1"/>
      <c r="M450" s="1"/>
      <c r="N450" s="1"/>
      <c r="O450" s="1"/>
      <c r="Q450" s="1"/>
      <c r="R450" s="2"/>
      <c r="S450" s="1"/>
      <c r="T450" s="1"/>
      <c r="V450" s="1"/>
      <c r="W450" s="1"/>
      <c r="AJ450" s="1"/>
    </row>
    <row r="451" ht="14.25" customHeight="1" spans="1:36" x14ac:dyDescent="0.25">
      <c r="A451" s="1"/>
      <c r="B451" s="1"/>
      <c r="C451" s="1"/>
      <c r="D451" s="1"/>
      <c r="E451" s="1"/>
      <c r="F451" s="1"/>
      <c r="G451" s="1"/>
      <c r="H451" s="1"/>
      <c r="I451" s="1"/>
      <c r="J451" s="1"/>
      <c r="K451" s="1"/>
      <c r="L451" s="1"/>
      <c r="M451" s="1"/>
      <c r="N451" s="1"/>
      <c r="O451" s="1"/>
      <c r="Q451" s="1"/>
      <c r="R451" s="2"/>
      <c r="S451" s="1"/>
      <c r="T451" s="1"/>
      <c r="V451" s="1"/>
      <c r="W451" s="1"/>
      <c r="AJ451" s="1"/>
    </row>
    <row r="452" ht="14.25" customHeight="1" spans="1:36" x14ac:dyDescent="0.25">
      <c r="A452" s="1"/>
      <c r="B452" s="1"/>
      <c r="C452" s="1"/>
      <c r="D452" s="1"/>
      <c r="E452" s="1"/>
      <c r="F452" s="1"/>
      <c r="G452" s="1"/>
      <c r="H452" s="1"/>
      <c r="I452" s="1"/>
      <c r="J452" s="1"/>
      <c r="K452" s="1"/>
      <c r="L452" s="1"/>
      <c r="M452" s="1"/>
      <c r="N452" s="1"/>
      <c r="O452" s="1"/>
      <c r="Q452" s="1"/>
      <c r="R452" s="2"/>
      <c r="S452" s="1"/>
      <c r="T452" s="1"/>
      <c r="V452" s="1"/>
      <c r="W452" s="1"/>
      <c r="AJ452" s="1"/>
    </row>
    <row r="453" ht="14.25" customHeight="1" spans="1:36" x14ac:dyDescent="0.25">
      <c r="A453" s="1"/>
      <c r="B453" s="1"/>
      <c r="C453" s="1"/>
      <c r="D453" s="1"/>
      <c r="E453" s="1"/>
      <c r="F453" s="1"/>
      <c r="G453" s="1"/>
      <c r="H453" s="1"/>
      <c r="I453" s="1"/>
      <c r="J453" s="1"/>
      <c r="K453" s="1"/>
      <c r="L453" s="1"/>
      <c r="M453" s="1"/>
      <c r="N453" s="1"/>
      <c r="O453" s="1"/>
      <c r="Q453" s="1"/>
      <c r="R453" s="2"/>
      <c r="S453" s="1"/>
      <c r="T453" s="1"/>
      <c r="V453" s="1"/>
      <c r="W453" s="1"/>
      <c r="AJ453" s="1"/>
    </row>
    <row r="454" ht="14.25" customHeight="1" spans="1:36" x14ac:dyDescent="0.25">
      <c r="A454" s="1"/>
      <c r="B454" s="1"/>
      <c r="C454" s="1"/>
      <c r="D454" s="1"/>
      <c r="E454" s="1"/>
      <c r="F454" s="1"/>
      <c r="G454" s="1"/>
      <c r="H454" s="1"/>
      <c r="I454" s="1"/>
      <c r="J454" s="1"/>
      <c r="K454" s="1"/>
      <c r="L454" s="1"/>
      <c r="M454" s="1"/>
      <c r="N454" s="1"/>
      <c r="O454" s="1"/>
      <c r="Q454" s="1"/>
      <c r="R454" s="2"/>
      <c r="S454" s="1"/>
      <c r="T454" s="1"/>
      <c r="V454" s="1"/>
      <c r="W454" s="1"/>
      <c r="AJ454" s="1"/>
    </row>
    <row r="455" ht="14.25" customHeight="1" spans="1:36" x14ac:dyDescent="0.25">
      <c r="A455" s="1"/>
      <c r="B455" s="1"/>
      <c r="C455" s="1"/>
      <c r="D455" s="1"/>
      <c r="E455" s="1"/>
      <c r="F455" s="1"/>
      <c r="G455" s="1"/>
      <c r="H455" s="1"/>
      <c r="I455" s="1"/>
      <c r="J455" s="1"/>
      <c r="K455" s="1"/>
      <c r="L455" s="1"/>
      <c r="M455" s="1"/>
      <c r="N455" s="1"/>
      <c r="O455" s="1"/>
      <c r="Q455" s="1"/>
      <c r="R455" s="2"/>
      <c r="S455" s="1"/>
      <c r="T455" s="1"/>
      <c r="V455" s="1"/>
      <c r="W455" s="1"/>
      <c r="AJ455" s="1"/>
    </row>
    <row r="456" ht="14.25" customHeight="1" spans="1:36" x14ac:dyDescent="0.25">
      <c r="A456" s="1"/>
      <c r="B456" s="1"/>
      <c r="C456" s="1"/>
      <c r="D456" s="1"/>
      <c r="E456" s="1"/>
      <c r="F456" s="1"/>
      <c r="G456" s="1"/>
      <c r="H456" s="1"/>
      <c r="I456" s="1"/>
      <c r="J456" s="1"/>
      <c r="K456" s="1"/>
      <c r="L456" s="1"/>
      <c r="M456" s="1"/>
      <c r="N456" s="1"/>
      <c r="O456" s="1"/>
      <c r="Q456" s="1"/>
      <c r="R456" s="2"/>
      <c r="S456" s="1"/>
      <c r="T456" s="1"/>
      <c r="V456" s="1"/>
      <c r="W456" s="1"/>
      <c r="AJ456" s="1"/>
    </row>
    <row r="457" ht="14.25" customHeight="1" spans="1:36" x14ac:dyDescent="0.25">
      <c r="A457" s="1"/>
      <c r="B457" s="1"/>
      <c r="C457" s="1"/>
      <c r="D457" s="1"/>
      <c r="E457" s="1"/>
      <c r="F457" s="1"/>
      <c r="G457" s="1"/>
      <c r="H457" s="1"/>
      <c r="I457" s="1"/>
      <c r="J457" s="1"/>
      <c r="K457" s="1"/>
      <c r="L457" s="1"/>
      <c r="M457" s="1"/>
      <c r="N457" s="1"/>
      <c r="O457" s="1"/>
      <c r="Q457" s="1"/>
      <c r="R457" s="2"/>
      <c r="S457" s="1"/>
      <c r="T457" s="1"/>
      <c r="V457" s="1"/>
      <c r="W457" s="1"/>
      <c r="AJ457" s="1"/>
    </row>
    <row r="458" ht="14.25" customHeight="1" spans="1:36" x14ac:dyDescent="0.25">
      <c r="A458" s="1"/>
      <c r="B458" s="1"/>
      <c r="C458" s="1"/>
      <c r="D458" s="1"/>
      <c r="E458" s="1"/>
      <c r="F458" s="1"/>
      <c r="G458" s="1"/>
      <c r="H458" s="1"/>
      <c r="I458" s="1"/>
      <c r="J458" s="1"/>
      <c r="K458" s="1"/>
      <c r="L458" s="1"/>
      <c r="M458" s="1"/>
      <c r="N458" s="1"/>
      <c r="O458" s="1"/>
      <c r="Q458" s="1"/>
      <c r="R458" s="2"/>
      <c r="S458" s="1"/>
      <c r="T458" s="1"/>
      <c r="V458" s="1"/>
      <c r="W458" s="1"/>
      <c r="AJ458" s="1"/>
    </row>
    <row r="459" ht="14.25" customHeight="1" spans="1:36" x14ac:dyDescent="0.25">
      <c r="A459" s="1"/>
      <c r="B459" s="1"/>
      <c r="C459" s="1"/>
      <c r="D459" s="1"/>
      <c r="E459" s="1"/>
      <c r="F459" s="1"/>
      <c r="G459" s="1"/>
      <c r="H459" s="1"/>
      <c r="I459" s="1"/>
      <c r="J459" s="1"/>
      <c r="K459" s="1"/>
      <c r="L459" s="1"/>
      <c r="M459" s="1"/>
      <c r="N459" s="1"/>
      <c r="O459" s="1"/>
      <c r="Q459" s="1"/>
      <c r="R459" s="2"/>
      <c r="S459" s="1"/>
      <c r="T459" s="1"/>
      <c r="V459" s="1"/>
      <c r="W459" s="1"/>
      <c r="AJ459" s="1"/>
    </row>
    <row r="460" ht="14.25" customHeight="1" spans="1:36" x14ac:dyDescent="0.25">
      <c r="A460" s="1"/>
      <c r="B460" s="1"/>
      <c r="C460" s="1"/>
      <c r="D460" s="1"/>
      <c r="E460" s="1"/>
      <c r="F460" s="1"/>
      <c r="G460" s="1"/>
      <c r="H460" s="1"/>
      <c r="I460" s="1"/>
      <c r="J460" s="1"/>
      <c r="K460" s="1"/>
      <c r="L460" s="1"/>
      <c r="M460" s="1"/>
      <c r="N460" s="1"/>
      <c r="O460" s="1"/>
      <c r="Q460" s="1"/>
      <c r="R460" s="2"/>
      <c r="S460" s="1"/>
      <c r="T460" s="1"/>
      <c r="V460" s="1"/>
      <c r="W460" s="1"/>
      <c r="AJ460" s="1"/>
    </row>
    <row r="461" ht="14.25" customHeight="1" spans="1:36" x14ac:dyDescent="0.25">
      <c r="A461" s="1"/>
      <c r="B461" s="1"/>
      <c r="C461" s="1"/>
      <c r="D461" s="1"/>
      <c r="E461" s="1"/>
      <c r="F461" s="1"/>
      <c r="G461" s="1"/>
      <c r="H461" s="1"/>
      <c r="I461" s="1"/>
      <c r="J461" s="1"/>
      <c r="K461" s="1"/>
      <c r="L461" s="1"/>
      <c r="M461" s="1"/>
      <c r="N461" s="1"/>
      <c r="O461" s="1"/>
      <c r="Q461" s="1"/>
      <c r="R461" s="2"/>
      <c r="S461" s="1"/>
      <c r="T461" s="1"/>
      <c r="V461" s="1"/>
      <c r="W461" s="1"/>
      <c r="AJ461" s="1"/>
    </row>
    <row r="462" ht="14.25" customHeight="1" spans="1:36" x14ac:dyDescent="0.25">
      <c r="A462" s="1"/>
      <c r="B462" s="1"/>
      <c r="C462" s="1"/>
      <c r="D462" s="1"/>
      <c r="E462" s="1"/>
      <c r="F462" s="1"/>
      <c r="G462" s="1"/>
      <c r="H462" s="1"/>
      <c r="I462" s="1"/>
      <c r="J462" s="1"/>
      <c r="K462" s="1"/>
      <c r="L462" s="1"/>
      <c r="M462" s="1"/>
      <c r="N462" s="1"/>
      <c r="O462" s="1"/>
      <c r="Q462" s="1"/>
      <c r="R462" s="2"/>
      <c r="S462" s="1"/>
      <c r="T462" s="1"/>
      <c r="V462" s="1"/>
      <c r="W462" s="1"/>
      <c r="AJ462" s="1"/>
    </row>
    <row r="463" ht="14.25" customHeight="1" spans="1:36" x14ac:dyDescent="0.25">
      <c r="A463" s="1"/>
      <c r="B463" s="1"/>
      <c r="C463" s="1"/>
      <c r="D463" s="1"/>
      <c r="E463" s="1"/>
      <c r="F463" s="1"/>
      <c r="G463" s="1"/>
      <c r="H463" s="1"/>
      <c r="I463" s="1"/>
      <c r="J463" s="1"/>
      <c r="K463" s="1"/>
      <c r="L463" s="1"/>
      <c r="M463" s="1"/>
      <c r="N463" s="1"/>
      <c r="O463" s="1"/>
      <c r="Q463" s="1"/>
      <c r="R463" s="2"/>
      <c r="S463" s="1"/>
      <c r="T463" s="1"/>
      <c r="V463" s="1"/>
      <c r="W463" s="1"/>
      <c r="AJ463" s="1"/>
    </row>
    <row r="464" ht="14.25" customHeight="1" spans="1:36" x14ac:dyDescent="0.25">
      <c r="A464" s="1"/>
      <c r="B464" s="1"/>
      <c r="C464" s="1"/>
      <c r="D464" s="1"/>
      <c r="E464" s="1"/>
      <c r="F464" s="1"/>
      <c r="G464" s="1"/>
      <c r="H464" s="1"/>
      <c r="I464" s="1"/>
      <c r="J464" s="1"/>
      <c r="K464" s="1"/>
      <c r="L464" s="1"/>
      <c r="M464" s="1"/>
      <c r="N464" s="1"/>
      <c r="O464" s="1"/>
      <c r="Q464" s="1"/>
      <c r="R464" s="2"/>
      <c r="S464" s="1"/>
      <c r="T464" s="1"/>
      <c r="V464" s="1"/>
      <c r="W464" s="1"/>
      <c r="AJ464" s="1"/>
    </row>
    <row r="465" ht="14.25" customHeight="1" spans="1:36" x14ac:dyDescent="0.25">
      <c r="A465" s="1"/>
      <c r="B465" s="1"/>
      <c r="C465" s="1"/>
      <c r="D465" s="1"/>
      <c r="E465" s="1"/>
      <c r="F465" s="1"/>
      <c r="G465" s="1"/>
      <c r="H465" s="1"/>
      <c r="I465" s="1"/>
      <c r="J465" s="1"/>
      <c r="K465" s="1"/>
      <c r="L465" s="1"/>
      <c r="M465" s="1"/>
      <c r="N465" s="1"/>
      <c r="O465" s="1"/>
      <c r="Q465" s="1"/>
      <c r="R465" s="2"/>
      <c r="S465" s="1"/>
      <c r="T465" s="1"/>
      <c r="V465" s="1"/>
      <c r="W465" s="1"/>
      <c r="AJ465" s="1"/>
    </row>
    <row r="466" ht="14.25" customHeight="1" spans="1:36" x14ac:dyDescent="0.25">
      <c r="A466" s="1"/>
      <c r="B466" s="1"/>
      <c r="C466" s="1"/>
      <c r="D466" s="1"/>
      <c r="E466" s="1"/>
      <c r="F466" s="1"/>
      <c r="G466" s="1"/>
      <c r="H466" s="1"/>
      <c r="I466" s="1"/>
      <c r="J466" s="1"/>
      <c r="K466" s="1"/>
      <c r="L466" s="1"/>
      <c r="M466" s="1"/>
      <c r="N466" s="1"/>
      <c r="O466" s="1"/>
      <c r="Q466" s="1"/>
      <c r="R466" s="2"/>
      <c r="S466" s="1"/>
      <c r="T466" s="1"/>
      <c r="V466" s="1"/>
      <c r="W466" s="1"/>
      <c r="AJ466" s="1"/>
    </row>
    <row r="467" ht="14.25" customHeight="1" spans="1:36" x14ac:dyDescent="0.25">
      <c r="A467" s="1"/>
      <c r="B467" s="1"/>
      <c r="C467" s="1"/>
      <c r="D467" s="1"/>
      <c r="E467" s="1"/>
      <c r="F467" s="1"/>
      <c r="G467" s="1"/>
      <c r="H467" s="1"/>
      <c r="I467" s="1"/>
      <c r="J467" s="1"/>
      <c r="K467" s="1"/>
      <c r="L467" s="1"/>
      <c r="M467" s="1"/>
      <c r="N467" s="1"/>
      <c r="O467" s="1"/>
      <c r="Q467" s="1"/>
      <c r="R467" s="2"/>
      <c r="S467" s="1"/>
      <c r="T467" s="1"/>
      <c r="V467" s="1"/>
      <c r="W467" s="1"/>
      <c r="AJ467" s="1"/>
    </row>
    <row r="468" ht="14.25" customHeight="1" spans="1:36" x14ac:dyDescent="0.25">
      <c r="A468" s="1"/>
      <c r="B468" s="1"/>
      <c r="C468" s="1"/>
      <c r="D468" s="1"/>
      <c r="E468" s="1"/>
      <c r="F468" s="1"/>
      <c r="G468" s="1"/>
      <c r="H468" s="1"/>
      <c r="I468" s="1"/>
      <c r="J468" s="1"/>
      <c r="K468" s="1"/>
      <c r="L468" s="1"/>
      <c r="M468" s="1"/>
      <c r="N468" s="1"/>
      <c r="O468" s="1"/>
      <c r="Q468" s="1"/>
      <c r="R468" s="2"/>
      <c r="S468" s="1"/>
      <c r="T468" s="1"/>
      <c r="V468" s="1"/>
      <c r="W468" s="1"/>
      <c r="AJ468" s="1"/>
    </row>
    <row r="469" ht="14.25" customHeight="1" spans="1:36" x14ac:dyDescent="0.25">
      <c r="A469" s="1"/>
      <c r="B469" s="1"/>
      <c r="C469" s="1"/>
      <c r="D469" s="1"/>
      <c r="E469" s="1"/>
      <c r="F469" s="1"/>
      <c r="G469" s="1"/>
      <c r="H469" s="1"/>
      <c r="I469" s="1"/>
      <c r="J469" s="1"/>
      <c r="K469" s="1"/>
      <c r="L469" s="1"/>
      <c r="M469" s="1"/>
      <c r="N469" s="1"/>
      <c r="O469" s="1"/>
      <c r="Q469" s="1"/>
      <c r="R469" s="2"/>
      <c r="S469" s="1"/>
      <c r="T469" s="1"/>
      <c r="V469" s="1"/>
      <c r="W469" s="1"/>
      <c r="AJ469" s="1"/>
    </row>
    <row r="470" ht="14.25" customHeight="1" spans="1:36" x14ac:dyDescent="0.25">
      <c r="A470" s="1"/>
      <c r="B470" s="1"/>
      <c r="C470" s="1"/>
      <c r="D470" s="1"/>
      <c r="E470" s="1"/>
      <c r="F470" s="1"/>
      <c r="G470" s="1"/>
      <c r="H470" s="1"/>
      <c r="I470" s="1"/>
      <c r="J470" s="1"/>
      <c r="K470" s="1"/>
      <c r="L470" s="1"/>
      <c r="M470" s="1"/>
      <c r="N470" s="1"/>
      <c r="O470" s="1"/>
      <c r="Q470" s="1"/>
      <c r="R470" s="2"/>
      <c r="S470" s="1"/>
      <c r="T470" s="1"/>
      <c r="V470" s="1"/>
      <c r="W470" s="1"/>
      <c r="AJ470" s="1"/>
    </row>
    <row r="471" ht="14.25" customHeight="1" spans="1:36" x14ac:dyDescent="0.25">
      <c r="A471" s="1"/>
      <c r="B471" s="1"/>
      <c r="C471" s="1"/>
      <c r="D471" s="1"/>
      <c r="E471" s="1"/>
      <c r="F471" s="1"/>
      <c r="G471" s="1"/>
      <c r="H471" s="1"/>
      <c r="I471" s="1"/>
      <c r="J471" s="1"/>
      <c r="K471" s="1"/>
      <c r="L471" s="1"/>
      <c r="M471" s="1"/>
      <c r="N471" s="1"/>
      <c r="O471" s="1"/>
      <c r="Q471" s="1"/>
      <c r="R471" s="2"/>
      <c r="S471" s="1"/>
      <c r="T471" s="1"/>
      <c r="V471" s="1"/>
      <c r="W471" s="1"/>
      <c r="AJ471" s="1"/>
    </row>
    <row r="472" ht="14.25" customHeight="1" spans="1:36" x14ac:dyDescent="0.25">
      <c r="A472" s="1"/>
      <c r="B472" s="1"/>
      <c r="C472" s="1"/>
      <c r="D472" s="1"/>
      <c r="E472" s="1"/>
      <c r="F472" s="1"/>
      <c r="G472" s="1"/>
      <c r="H472" s="1"/>
      <c r="I472" s="1"/>
      <c r="J472" s="1"/>
      <c r="K472" s="1"/>
      <c r="L472" s="1"/>
      <c r="M472" s="1"/>
      <c r="N472" s="1"/>
      <c r="O472" s="1"/>
      <c r="Q472" s="1"/>
      <c r="R472" s="2"/>
      <c r="S472" s="1"/>
      <c r="T472" s="1"/>
      <c r="V472" s="1"/>
      <c r="W472" s="1"/>
      <c r="AJ472" s="1"/>
    </row>
    <row r="473" ht="14.25" customHeight="1" spans="1:36" x14ac:dyDescent="0.25">
      <c r="A473" s="1"/>
      <c r="B473" s="1"/>
      <c r="C473" s="1"/>
      <c r="D473" s="1"/>
      <c r="E473" s="1"/>
      <c r="F473" s="1"/>
      <c r="G473" s="1"/>
      <c r="H473" s="1"/>
      <c r="I473" s="1"/>
      <c r="J473" s="1"/>
      <c r="K473" s="1"/>
      <c r="L473" s="1"/>
      <c r="M473" s="1"/>
      <c r="N473" s="1"/>
      <c r="O473" s="1"/>
      <c r="Q473" s="1"/>
      <c r="R473" s="2"/>
      <c r="S473" s="1"/>
      <c r="T473" s="1"/>
      <c r="V473" s="1"/>
      <c r="W473" s="1"/>
      <c r="AJ473" s="1"/>
    </row>
    <row r="474" ht="14.25" customHeight="1" spans="1:36" x14ac:dyDescent="0.25">
      <c r="A474" s="1"/>
      <c r="B474" s="1"/>
      <c r="C474" s="1"/>
      <c r="D474" s="1"/>
      <c r="E474" s="1"/>
      <c r="F474" s="1"/>
      <c r="G474" s="1"/>
      <c r="H474" s="1"/>
      <c r="I474" s="1"/>
      <c r="J474" s="1"/>
      <c r="K474" s="1"/>
      <c r="L474" s="1"/>
      <c r="M474" s="1"/>
      <c r="N474" s="1"/>
      <c r="O474" s="1"/>
      <c r="Q474" s="1"/>
      <c r="R474" s="2"/>
      <c r="S474" s="1"/>
      <c r="T474" s="1"/>
      <c r="V474" s="1"/>
      <c r="W474" s="1"/>
      <c r="AJ474" s="1"/>
    </row>
    <row r="475" ht="14.25" customHeight="1" spans="1:36" x14ac:dyDescent="0.25">
      <c r="A475" s="1"/>
      <c r="B475" s="1"/>
      <c r="C475" s="1"/>
      <c r="D475" s="1"/>
      <c r="E475" s="1"/>
      <c r="F475" s="1"/>
      <c r="G475" s="1"/>
      <c r="H475" s="1"/>
      <c r="I475" s="1"/>
      <c r="J475" s="1"/>
      <c r="K475" s="1"/>
      <c r="L475" s="1"/>
      <c r="M475" s="1"/>
      <c r="N475" s="1"/>
      <c r="O475" s="1"/>
      <c r="Q475" s="1"/>
      <c r="R475" s="2"/>
      <c r="S475" s="1"/>
      <c r="T475" s="1"/>
      <c r="V475" s="1"/>
      <c r="W475" s="1"/>
      <c r="AJ475" s="1"/>
    </row>
    <row r="476" ht="14.25" customHeight="1" spans="1:36" x14ac:dyDescent="0.25">
      <c r="A476" s="1"/>
      <c r="B476" s="1"/>
      <c r="C476" s="1"/>
      <c r="D476" s="1"/>
      <c r="E476" s="1"/>
      <c r="F476" s="1"/>
      <c r="G476" s="1"/>
      <c r="H476" s="1"/>
      <c r="I476" s="1"/>
      <c r="J476" s="1"/>
      <c r="K476" s="1"/>
      <c r="L476" s="1"/>
      <c r="M476" s="1"/>
      <c r="N476" s="1"/>
      <c r="O476" s="1"/>
      <c r="Q476" s="1"/>
      <c r="R476" s="2"/>
      <c r="S476" s="1"/>
      <c r="T476" s="1"/>
      <c r="V476" s="1"/>
      <c r="W476" s="1"/>
      <c r="AJ476" s="1"/>
    </row>
    <row r="477" ht="14.25" customHeight="1" spans="1:36" x14ac:dyDescent="0.25">
      <c r="A477" s="1"/>
      <c r="B477" s="1"/>
      <c r="C477" s="1"/>
      <c r="D477" s="1"/>
      <c r="E477" s="1"/>
      <c r="F477" s="1"/>
      <c r="G477" s="1"/>
      <c r="H477" s="1"/>
      <c r="I477" s="1"/>
      <c r="J477" s="1"/>
      <c r="K477" s="1"/>
      <c r="L477" s="1"/>
      <c r="M477" s="1"/>
      <c r="N477" s="1"/>
      <c r="O477" s="1"/>
      <c r="Q477" s="1"/>
      <c r="R477" s="2"/>
      <c r="S477" s="1"/>
      <c r="T477" s="1"/>
      <c r="V477" s="1"/>
      <c r="W477" s="1"/>
      <c r="AJ477" s="1"/>
    </row>
    <row r="478" ht="14.25" customHeight="1" spans="1:36" x14ac:dyDescent="0.25">
      <c r="A478" s="1"/>
      <c r="B478" s="1"/>
      <c r="C478" s="1"/>
      <c r="D478" s="1"/>
      <c r="E478" s="1"/>
      <c r="F478" s="1"/>
      <c r="G478" s="1"/>
      <c r="H478" s="1"/>
      <c r="I478" s="1"/>
      <c r="J478" s="1"/>
      <c r="K478" s="1"/>
      <c r="L478" s="1"/>
      <c r="M478" s="1"/>
      <c r="N478" s="1"/>
      <c r="O478" s="1"/>
      <c r="Q478" s="1"/>
      <c r="R478" s="2"/>
      <c r="S478" s="1"/>
      <c r="T478" s="1"/>
      <c r="V478" s="1"/>
      <c r="W478" s="1"/>
      <c r="AJ478" s="1"/>
    </row>
    <row r="479" ht="14.25" customHeight="1" spans="1:36" x14ac:dyDescent="0.25">
      <c r="A479" s="1"/>
      <c r="B479" s="1"/>
      <c r="C479" s="1"/>
      <c r="D479" s="1"/>
      <c r="E479" s="1"/>
      <c r="F479" s="1"/>
      <c r="G479" s="1"/>
      <c r="H479" s="1"/>
      <c r="I479" s="1"/>
      <c r="J479" s="1"/>
      <c r="K479" s="1"/>
      <c r="L479" s="1"/>
      <c r="M479" s="1"/>
      <c r="N479" s="1"/>
      <c r="O479" s="1"/>
      <c r="Q479" s="1"/>
      <c r="R479" s="2"/>
      <c r="S479" s="1"/>
      <c r="T479" s="1"/>
      <c r="V479" s="1"/>
      <c r="W479" s="1"/>
      <c r="AJ479" s="1"/>
    </row>
    <row r="480" ht="14.25" customHeight="1" spans="1:36" x14ac:dyDescent="0.25">
      <c r="A480" s="1"/>
      <c r="B480" s="1"/>
      <c r="C480" s="1"/>
      <c r="D480" s="1"/>
      <c r="E480" s="1"/>
      <c r="F480" s="1"/>
      <c r="G480" s="1"/>
      <c r="H480" s="1"/>
      <c r="I480" s="1"/>
      <c r="J480" s="1"/>
      <c r="K480" s="1"/>
      <c r="L480" s="1"/>
      <c r="M480" s="1"/>
      <c r="N480" s="1"/>
      <c r="O480" s="1"/>
      <c r="Q480" s="1"/>
      <c r="R480" s="2"/>
      <c r="S480" s="1"/>
      <c r="T480" s="1"/>
      <c r="V480" s="1"/>
      <c r="W480" s="1"/>
      <c r="AJ480" s="1"/>
    </row>
    <row r="481" ht="14.25" customHeight="1" spans="1:36" x14ac:dyDescent="0.25">
      <c r="A481" s="1"/>
      <c r="B481" s="1"/>
      <c r="C481" s="1"/>
      <c r="D481" s="1"/>
      <c r="E481" s="1"/>
      <c r="F481" s="1"/>
      <c r="G481" s="1"/>
      <c r="H481" s="1"/>
      <c r="I481" s="1"/>
      <c r="J481" s="1"/>
      <c r="K481" s="1"/>
      <c r="L481" s="1"/>
      <c r="M481" s="1"/>
      <c r="N481" s="1"/>
      <c r="O481" s="1"/>
      <c r="Q481" s="1"/>
      <c r="R481" s="2"/>
      <c r="S481" s="1"/>
      <c r="T481" s="1"/>
      <c r="V481" s="1"/>
      <c r="W481" s="1"/>
      <c r="AJ481" s="1"/>
    </row>
    <row r="482" ht="14.25" customHeight="1" spans="1:36" x14ac:dyDescent="0.25">
      <c r="A482" s="1"/>
      <c r="B482" s="1"/>
      <c r="C482" s="1"/>
      <c r="D482" s="1"/>
      <c r="E482" s="1"/>
      <c r="F482" s="1"/>
      <c r="G482" s="1"/>
      <c r="H482" s="1"/>
      <c r="I482" s="1"/>
      <c r="J482" s="1"/>
      <c r="K482" s="1"/>
      <c r="L482" s="1"/>
      <c r="M482" s="1"/>
      <c r="N482" s="1"/>
      <c r="O482" s="1"/>
      <c r="Q482" s="1"/>
      <c r="R482" s="2"/>
      <c r="S482" s="1"/>
      <c r="T482" s="1"/>
      <c r="V482" s="1"/>
      <c r="W482" s="1"/>
      <c r="AJ482" s="1"/>
    </row>
    <row r="483" ht="14.25" customHeight="1" spans="1:36" x14ac:dyDescent="0.25">
      <c r="A483" s="1"/>
      <c r="B483" s="1"/>
      <c r="C483" s="1"/>
      <c r="D483" s="1"/>
      <c r="E483" s="1"/>
      <c r="F483" s="1"/>
      <c r="G483" s="1"/>
      <c r="H483" s="1"/>
      <c r="I483" s="1"/>
      <c r="J483" s="1"/>
      <c r="K483" s="1"/>
      <c r="L483" s="1"/>
      <c r="M483" s="1"/>
      <c r="N483" s="1"/>
      <c r="O483" s="1"/>
      <c r="Q483" s="1"/>
      <c r="R483" s="2"/>
      <c r="S483" s="1"/>
      <c r="T483" s="1"/>
      <c r="V483" s="1"/>
      <c r="W483" s="1"/>
      <c r="AJ483" s="1"/>
    </row>
    <row r="484" ht="14.25" customHeight="1" spans="1:36" x14ac:dyDescent="0.25">
      <c r="A484" s="1"/>
      <c r="B484" s="1"/>
      <c r="C484" s="1"/>
      <c r="D484" s="1"/>
      <c r="E484" s="1"/>
      <c r="F484" s="1"/>
      <c r="G484" s="1"/>
      <c r="H484" s="1"/>
      <c r="I484" s="1"/>
      <c r="J484" s="1"/>
      <c r="K484" s="1"/>
      <c r="L484" s="1"/>
      <c r="M484" s="1"/>
      <c r="N484" s="1"/>
      <c r="O484" s="1"/>
      <c r="Q484" s="1"/>
      <c r="R484" s="2"/>
      <c r="S484" s="1"/>
      <c r="T484" s="1"/>
      <c r="V484" s="1"/>
      <c r="W484" s="1"/>
      <c r="AJ484" s="1"/>
    </row>
    <row r="485" ht="14.25" customHeight="1" spans="1:36" x14ac:dyDescent="0.25">
      <c r="A485" s="1"/>
      <c r="B485" s="1"/>
      <c r="C485" s="1"/>
      <c r="D485" s="1"/>
      <c r="E485" s="1"/>
      <c r="F485" s="1"/>
      <c r="G485" s="1"/>
      <c r="H485" s="1"/>
      <c r="I485" s="1"/>
      <c r="J485" s="1"/>
      <c r="K485" s="1"/>
      <c r="L485" s="1"/>
      <c r="M485" s="1"/>
      <c r="N485" s="1"/>
      <c r="O485" s="1"/>
      <c r="Q485" s="1"/>
      <c r="R485" s="2"/>
      <c r="S485" s="1"/>
      <c r="T485" s="1"/>
      <c r="V485" s="1"/>
      <c r="W485" s="1"/>
      <c r="AJ485" s="1"/>
    </row>
    <row r="486" ht="14.25" customHeight="1" spans="1:36" x14ac:dyDescent="0.25">
      <c r="A486" s="1"/>
      <c r="B486" s="1"/>
      <c r="C486" s="1"/>
      <c r="D486" s="1"/>
      <c r="E486" s="1"/>
      <c r="F486" s="1"/>
      <c r="G486" s="1"/>
      <c r="H486" s="1"/>
      <c r="I486" s="1"/>
      <c r="J486" s="1"/>
      <c r="K486" s="1"/>
      <c r="L486" s="1"/>
      <c r="M486" s="1"/>
      <c r="N486" s="1"/>
      <c r="O486" s="1"/>
      <c r="Q486" s="1"/>
      <c r="R486" s="2"/>
      <c r="S486" s="1"/>
      <c r="T486" s="1"/>
      <c r="V486" s="1"/>
      <c r="W486" s="1"/>
      <c r="AJ486" s="1"/>
    </row>
    <row r="487" ht="14.25" customHeight="1" spans="1:36" x14ac:dyDescent="0.25">
      <c r="A487" s="1"/>
      <c r="B487" s="1"/>
      <c r="C487" s="1"/>
      <c r="D487" s="1"/>
      <c r="E487" s="1"/>
      <c r="F487" s="1"/>
      <c r="G487" s="1"/>
      <c r="H487" s="1"/>
      <c r="I487" s="1"/>
      <c r="J487" s="1"/>
      <c r="K487" s="1"/>
      <c r="L487" s="1"/>
      <c r="M487" s="1"/>
      <c r="N487" s="1"/>
      <c r="O487" s="1"/>
      <c r="Q487" s="1"/>
      <c r="R487" s="2"/>
      <c r="S487" s="1"/>
      <c r="T487" s="1"/>
      <c r="V487" s="1"/>
      <c r="W487" s="1"/>
      <c r="AJ487" s="1"/>
    </row>
    <row r="488" ht="14.25" customHeight="1" spans="1:36" x14ac:dyDescent="0.25">
      <c r="A488" s="1"/>
      <c r="B488" s="1"/>
      <c r="C488" s="1"/>
      <c r="D488" s="1"/>
      <c r="E488" s="1"/>
      <c r="F488" s="1"/>
      <c r="G488" s="1"/>
      <c r="H488" s="1"/>
      <c r="I488" s="1"/>
      <c r="J488" s="1"/>
      <c r="K488" s="1"/>
      <c r="L488" s="1"/>
      <c r="M488" s="1"/>
      <c r="N488" s="1"/>
      <c r="O488" s="1"/>
      <c r="Q488" s="1"/>
      <c r="R488" s="2"/>
      <c r="S488" s="1"/>
      <c r="T488" s="1"/>
      <c r="V488" s="1"/>
      <c r="W488" s="1"/>
      <c r="AJ488" s="1"/>
    </row>
    <row r="489" ht="14.25" customHeight="1" spans="1:36" x14ac:dyDescent="0.25">
      <c r="A489" s="1"/>
      <c r="B489" s="1"/>
      <c r="C489" s="1"/>
      <c r="D489" s="1"/>
      <c r="E489" s="1"/>
      <c r="F489" s="1"/>
      <c r="G489" s="1"/>
      <c r="H489" s="1"/>
      <c r="I489" s="1"/>
      <c r="J489" s="1"/>
      <c r="K489" s="1"/>
      <c r="L489" s="1"/>
      <c r="M489" s="1"/>
      <c r="N489" s="1"/>
      <c r="O489" s="1"/>
      <c r="Q489" s="1"/>
      <c r="R489" s="2"/>
      <c r="S489" s="1"/>
      <c r="T489" s="1"/>
      <c r="V489" s="1"/>
      <c r="W489" s="1"/>
      <c r="AJ489" s="1"/>
    </row>
    <row r="490" ht="14.25" customHeight="1" spans="1:36" x14ac:dyDescent="0.25">
      <c r="A490" s="1"/>
      <c r="B490" s="1"/>
      <c r="C490" s="1"/>
      <c r="D490" s="1"/>
      <c r="E490" s="1"/>
      <c r="F490" s="1"/>
      <c r="G490" s="1"/>
      <c r="H490" s="1"/>
      <c r="I490" s="1"/>
      <c r="J490" s="1"/>
      <c r="K490" s="1"/>
      <c r="L490" s="1"/>
      <c r="M490" s="1"/>
      <c r="N490" s="1"/>
      <c r="O490" s="1"/>
      <c r="Q490" s="1"/>
      <c r="R490" s="2"/>
      <c r="S490" s="1"/>
      <c r="T490" s="1"/>
      <c r="V490" s="1"/>
      <c r="W490" s="1"/>
      <c r="AJ490" s="1"/>
    </row>
    <row r="491" ht="14.25" customHeight="1" spans="1:36" x14ac:dyDescent="0.25">
      <c r="A491" s="1"/>
      <c r="B491" s="1"/>
      <c r="C491" s="1"/>
      <c r="D491" s="1"/>
      <c r="E491" s="1"/>
      <c r="F491" s="1"/>
      <c r="G491" s="1"/>
      <c r="H491" s="1"/>
      <c r="I491" s="1"/>
      <c r="J491" s="1"/>
      <c r="K491" s="1"/>
      <c r="L491" s="1"/>
      <c r="M491" s="1"/>
      <c r="N491" s="1"/>
      <c r="O491" s="1"/>
      <c r="Q491" s="1"/>
      <c r="R491" s="2"/>
      <c r="S491" s="1"/>
      <c r="T491" s="1"/>
      <c r="V491" s="1"/>
      <c r="W491" s="1"/>
      <c r="AJ491" s="1"/>
    </row>
    <row r="492" ht="14.25" customHeight="1" spans="1:36" x14ac:dyDescent="0.25">
      <c r="A492" s="1"/>
      <c r="B492" s="1"/>
      <c r="C492" s="1"/>
      <c r="D492" s="1"/>
      <c r="E492" s="1"/>
      <c r="F492" s="1"/>
      <c r="G492" s="1"/>
      <c r="H492" s="1"/>
      <c r="I492" s="1"/>
      <c r="J492" s="1"/>
      <c r="K492" s="1"/>
      <c r="L492" s="1"/>
      <c r="M492" s="1"/>
      <c r="N492" s="1"/>
      <c r="O492" s="1"/>
      <c r="Q492" s="1"/>
      <c r="R492" s="2"/>
      <c r="S492" s="1"/>
      <c r="T492" s="1"/>
      <c r="V492" s="1"/>
      <c r="W492" s="1"/>
      <c r="AJ492" s="1"/>
    </row>
    <row r="493" ht="14.25" customHeight="1" spans="1:36" x14ac:dyDescent="0.25">
      <c r="A493" s="1"/>
      <c r="B493" s="1"/>
      <c r="C493" s="1"/>
      <c r="D493" s="1"/>
      <c r="E493" s="1"/>
      <c r="F493" s="1"/>
      <c r="G493" s="1"/>
      <c r="H493" s="1"/>
      <c r="I493" s="1"/>
      <c r="J493" s="1"/>
      <c r="K493" s="1"/>
      <c r="L493" s="1"/>
      <c r="M493" s="1"/>
      <c r="N493" s="1"/>
      <c r="O493" s="1"/>
      <c r="Q493" s="1"/>
      <c r="R493" s="2"/>
      <c r="S493" s="1"/>
      <c r="T493" s="1"/>
      <c r="V493" s="1"/>
      <c r="W493" s="1"/>
      <c r="AJ493" s="1"/>
    </row>
    <row r="494" ht="14.25" customHeight="1" spans="1:36" x14ac:dyDescent="0.25">
      <c r="A494" s="1"/>
      <c r="B494" s="1"/>
      <c r="C494" s="1"/>
      <c r="D494" s="1"/>
      <c r="E494" s="1"/>
      <c r="F494" s="1"/>
      <c r="G494" s="1"/>
      <c r="H494" s="1"/>
      <c r="I494" s="1"/>
      <c r="J494" s="1"/>
      <c r="K494" s="1"/>
      <c r="L494" s="1"/>
      <c r="M494" s="1"/>
      <c r="N494" s="1"/>
      <c r="O494" s="1"/>
      <c r="Q494" s="1"/>
      <c r="R494" s="2"/>
      <c r="S494" s="1"/>
      <c r="T494" s="1"/>
      <c r="V494" s="1"/>
      <c r="W494" s="1"/>
      <c r="AJ494" s="1"/>
    </row>
    <row r="495" ht="14.25" customHeight="1" spans="1:36" x14ac:dyDescent="0.25">
      <c r="A495" s="1"/>
      <c r="B495" s="1"/>
      <c r="C495" s="1"/>
      <c r="D495" s="1"/>
      <c r="E495" s="1"/>
      <c r="F495" s="1"/>
      <c r="G495" s="1"/>
      <c r="H495" s="1"/>
      <c r="I495" s="1"/>
      <c r="J495" s="1"/>
      <c r="K495" s="1"/>
      <c r="L495" s="1"/>
      <c r="M495" s="1"/>
      <c r="N495" s="1"/>
      <c r="O495" s="1"/>
      <c r="Q495" s="1"/>
      <c r="R495" s="2"/>
      <c r="S495" s="1"/>
      <c r="T495" s="1"/>
      <c r="V495" s="1"/>
      <c r="W495" s="1"/>
      <c r="AJ495" s="1"/>
    </row>
    <row r="496" ht="14.25" customHeight="1" spans="1:36" x14ac:dyDescent="0.25">
      <c r="A496" s="1"/>
      <c r="B496" s="1"/>
      <c r="C496" s="1"/>
      <c r="D496" s="1"/>
      <c r="E496" s="1"/>
      <c r="F496" s="1"/>
      <c r="G496" s="1"/>
      <c r="H496" s="1"/>
      <c r="I496" s="1"/>
      <c r="J496" s="1"/>
      <c r="K496" s="1"/>
      <c r="L496" s="1"/>
      <c r="M496" s="1"/>
      <c r="N496" s="1"/>
      <c r="O496" s="1"/>
      <c r="Q496" s="1"/>
      <c r="R496" s="2"/>
      <c r="S496" s="1"/>
      <c r="T496" s="1"/>
      <c r="V496" s="1"/>
      <c r="W496" s="1"/>
      <c r="AJ496" s="1"/>
    </row>
    <row r="497" ht="14.25" customHeight="1" spans="1:36" x14ac:dyDescent="0.25">
      <c r="A497" s="1"/>
      <c r="B497" s="1"/>
      <c r="C497" s="1"/>
      <c r="D497" s="1"/>
      <c r="E497" s="1"/>
      <c r="F497" s="1"/>
      <c r="G497" s="1"/>
      <c r="H497" s="1"/>
      <c r="I497" s="1"/>
      <c r="J497" s="1"/>
      <c r="K497" s="1"/>
      <c r="L497" s="1"/>
      <c r="M497" s="1"/>
      <c r="N497" s="1"/>
      <c r="O497" s="1"/>
      <c r="Q497" s="1"/>
      <c r="R497" s="2"/>
      <c r="S497" s="1"/>
      <c r="T497" s="1"/>
      <c r="V497" s="1"/>
      <c r="W497" s="1"/>
      <c r="AJ497" s="1"/>
    </row>
    <row r="498" ht="14.25" customHeight="1" spans="1:36" x14ac:dyDescent="0.25">
      <c r="A498" s="1"/>
      <c r="B498" s="1"/>
      <c r="C498" s="1"/>
      <c r="D498" s="1"/>
      <c r="E498" s="1"/>
      <c r="F498" s="1"/>
      <c r="G498" s="1"/>
      <c r="H498" s="1"/>
      <c r="I498" s="1"/>
      <c r="J498" s="1"/>
      <c r="K498" s="1"/>
      <c r="L498" s="1"/>
      <c r="M498" s="1"/>
      <c r="N498" s="1"/>
      <c r="O498" s="1"/>
      <c r="Q498" s="1"/>
      <c r="R498" s="2"/>
      <c r="S498" s="1"/>
      <c r="T498" s="1"/>
      <c r="V498" s="1"/>
      <c r="W498" s="1"/>
      <c r="AJ498" s="1"/>
    </row>
    <row r="499" ht="14.25" customHeight="1" spans="1:36" x14ac:dyDescent="0.25">
      <c r="A499" s="1"/>
      <c r="B499" s="1"/>
      <c r="C499" s="1"/>
      <c r="D499" s="1"/>
      <c r="E499" s="1"/>
      <c r="F499" s="1"/>
      <c r="G499" s="1"/>
      <c r="H499" s="1"/>
      <c r="I499" s="1"/>
      <c r="J499" s="1"/>
      <c r="K499" s="1"/>
      <c r="L499" s="1"/>
      <c r="M499" s="1"/>
      <c r="N499" s="1"/>
      <c r="O499" s="1"/>
      <c r="Q499" s="1"/>
      <c r="R499" s="2"/>
      <c r="S499" s="1"/>
      <c r="T499" s="1"/>
      <c r="V499" s="1"/>
      <c r="W499" s="1"/>
      <c r="AJ499" s="1"/>
    </row>
    <row r="500" ht="14.25" customHeight="1" spans="1:36" x14ac:dyDescent="0.25">
      <c r="A500" s="1"/>
      <c r="B500" s="1"/>
      <c r="C500" s="1"/>
      <c r="D500" s="1"/>
      <c r="E500" s="1"/>
      <c r="F500" s="1"/>
      <c r="G500" s="1"/>
      <c r="H500" s="1"/>
      <c r="I500" s="1"/>
      <c r="J500" s="1"/>
      <c r="K500" s="1"/>
      <c r="L500" s="1"/>
      <c r="M500" s="1"/>
      <c r="N500" s="1"/>
      <c r="O500" s="1"/>
      <c r="Q500" s="1"/>
      <c r="R500" s="2"/>
      <c r="S500" s="1"/>
      <c r="T500" s="1"/>
      <c r="V500" s="1"/>
      <c r="W500" s="1"/>
      <c r="AJ500" s="1"/>
    </row>
    <row r="501" ht="14.25" customHeight="1" spans="1:36" x14ac:dyDescent="0.25">
      <c r="A501" s="1"/>
      <c r="B501" s="1"/>
      <c r="C501" s="1"/>
      <c r="D501" s="1"/>
      <c r="E501" s="1"/>
      <c r="F501" s="1"/>
      <c r="G501" s="1"/>
      <c r="H501" s="1"/>
      <c r="I501" s="1"/>
      <c r="J501" s="1"/>
      <c r="K501" s="1"/>
      <c r="L501" s="1"/>
      <c r="M501" s="1"/>
      <c r="N501" s="1"/>
      <c r="O501" s="1"/>
      <c r="Q501" s="1"/>
      <c r="R501" s="2"/>
      <c r="S501" s="1"/>
      <c r="T501" s="1"/>
      <c r="V501" s="1"/>
      <c r="W501" s="1"/>
      <c r="AJ501" s="1"/>
    </row>
    <row r="502" ht="14.25" customHeight="1" spans="1:36" x14ac:dyDescent="0.25">
      <c r="A502" s="1"/>
      <c r="B502" s="1"/>
      <c r="C502" s="1"/>
      <c r="D502" s="1"/>
      <c r="E502" s="1"/>
      <c r="F502" s="1"/>
      <c r="G502" s="1"/>
      <c r="H502" s="1"/>
      <c r="I502" s="1"/>
      <c r="J502" s="1"/>
      <c r="K502" s="1"/>
      <c r="L502" s="1"/>
      <c r="M502" s="1"/>
      <c r="N502" s="1"/>
      <c r="O502" s="1"/>
      <c r="Q502" s="1"/>
      <c r="R502" s="2"/>
      <c r="S502" s="1"/>
      <c r="T502" s="1"/>
      <c r="V502" s="1"/>
      <c r="W502" s="1"/>
      <c r="AJ502" s="1"/>
    </row>
    <row r="503" ht="14.25" customHeight="1" spans="1:36" x14ac:dyDescent="0.25">
      <c r="A503" s="1"/>
      <c r="B503" s="1"/>
      <c r="C503" s="1"/>
      <c r="D503" s="1"/>
      <c r="E503" s="1"/>
      <c r="F503" s="1"/>
      <c r="G503" s="1"/>
      <c r="H503" s="1"/>
      <c r="I503" s="1"/>
      <c r="J503" s="1"/>
      <c r="K503" s="1"/>
      <c r="L503" s="1"/>
      <c r="M503" s="1"/>
      <c r="N503" s="1"/>
      <c r="O503" s="1"/>
      <c r="Q503" s="1"/>
      <c r="R503" s="2"/>
      <c r="S503" s="1"/>
      <c r="T503" s="1"/>
      <c r="V503" s="1"/>
      <c r="W503" s="1"/>
      <c r="AJ503" s="1"/>
    </row>
    <row r="504" ht="14.25" customHeight="1" spans="1:36" x14ac:dyDescent="0.25">
      <c r="A504" s="1"/>
      <c r="B504" s="1"/>
      <c r="C504" s="1"/>
      <c r="D504" s="1"/>
      <c r="E504" s="1"/>
      <c r="F504" s="1"/>
      <c r="G504" s="1"/>
      <c r="H504" s="1"/>
      <c r="I504" s="1"/>
      <c r="J504" s="1"/>
      <c r="K504" s="1"/>
      <c r="L504" s="1"/>
      <c r="M504" s="1"/>
      <c r="N504" s="1"/>
      <c r="O504" s="1"/>
      <c r="Q504" s="1"/>
      <c r="R504" s="2"/>
      <c r="S504" s="1"/>
      <c r="T504" s="1"/>
      <c r="V504" s="1"/>
      <c r="W504" s="1"/>
      <c r="AJ504" s="1"/>
    </row>
    <row r="505" ht="14.25" customHeight="1" spans="1:36" x14ac:dyDescent="0.25">
      <c r="A505" s="1"/>
      <c r="B505" s="1"/>
      <c r="C505" s="1"/>
      <c r="D505" s="1"/>
      <c r="E505" s="1"/>
      <c r="F505" s="1"/>
      <c r="G505" s="1"/>
      <c r="H505" s="1"/>
      <c r="I505" s="1"/>
      <c r="J505" s="1"/>
      <c r="K505" s="1"/>
      <c r="L505" s="1"/>
      <c r="M505" s="1"/>
      <c r="N505" s="1"/>
      <c r="O505" s="1"/>
      <c r="Q505" s="1"/>
      <c r="R505" s="2"/>
      <c r="S505" s="1"/>
      <c r="T505" s="1"/>
      <c r="V505" s="1"/>
      <c r="W505" s="1"/>
      <c r="AJ505" s="1"/>
    </row>
    <row r="506" ht="14.25" customHeight="1" spans="1:36" x14ac:dyDescent="0.25">
      <c r="A506" s="1"/>
      <c r="B506" s="1"/>
      <c r="C506" s="1"/>
      <c r="D506" s="1"/>
      <c r="E506" s="1"/>
      <c r="F506" s="1"/>
      <c r="G506" s="1"/>
      <c r="H506" s="1"/>
      <c r="I506" s="1"/>
      <c r="J506" s="1"/>
      <c r="K506" s="1"/>
      <c r="L506" s="1"/>
      <c r="M506" s="1"/>
      <c r="N506" s="1"/>
      <c r="O506" s="1"/>
      <c r="Q506" s="1"/>
      <c r="R506" s="2"/>
      <c r="S506" s="1"/>
      <c r="T506" s="1"/>
      <c r="V506" s="1"/>
      <c r="W506" s="1"/>
      <c r="AJ506" s="1"/>
    </row>
    <row r="507" ht="14.25" customHeight="1" spans="1:36" x14ac:dyDescent="0.25">
      <c r="A507" s="1"/>
      <c r="B507" s="1"/>
      <c r="C507" s="1"/>
      <c r="D507" s="1"/>
      <c r="E507" s="1"/>
      <c r="F507" s="1"/>
      <c r="G507" s="1"/>
      <c r="H507" s="1"/>
      <c r="I507" s="1"/>
      <c r="J507" s="1"/>
      <c r="K507" s="1"/>
      <c r="L507" s="1"/>
      <c r="M507" s="1"/>
      <c r="N507" s="1"/>
      <c r="O507" s="1"/>
      <c r="Q507" s="1"/>
      <c r="R507" s="2"/>
      <c r="S507" s="1"/>
      <c r="T507" s="1"/>
      <c r="V507" s="1"/>
      <c r="W507" s="1"/>
      <c r="AJ507" s="1"/>
    </row>
    <row r="508" ht="14.25" customHeight="1" spans="1:36" x14ac:dyDescent="0.25">
      <c r="A508" s="1"/>
      <c r="B508" s="1"/>
      <c r="C508" s="1"/>
      <c r="D508" s="1"/>
      <c r="E508" s="1"/>
      <c r="F508" s="1"/>
      <c r="G508" s="1"/>
      <c r="H508" s="1"/>
      <c r="I508" s="1"/>
      <c r="J508" s="1"/>
      <c r="K508" s="1"/>
      <c r="L508" s="1"/>
      <c r="M508" s="1"/>
      <c r="N508" s="1"/>
      <c r="O508" s="1"/>
      <c r="Q508" s="1"/>
      <c r="R508" s="2"/>
      <c r="S508" s="1"/>
      <c r="T508" s="1"/>
      <c r="V508" s="1"/>
      <c r="W508" s="1"/>
      <c r="AJ508" s="1"/>
    </row>
    <row r="509" ht="14.25" customHeight="1" spans="1:36" x14ac:dyDescent="0.25">
      <c r="A509" s="1"/>
      <c r="B509" s="1"/>
      <c r="C509" s="1"/>
      <c r="D509" s="1"/>
      <c r="E509" s="1"/>
      <c r="F509" s="1"/>
      <c r="G509" s="1"/>
      <c r="H509" s="1"/>
      <c r="I509" s="1"/>
      <c r="J509" s="1"/>
      <c r="K509" s="1"/>
      <c r="L509" s="1"/>
      <c r="M509" s="1"/>
      <c r="N509" s="1"/>
      <c r="O509" s="1"/>
      <c r="Q509" s="1"/>
      <c r="R509" s="2"/>
      <c r="S509" s="1"/>
      <c r="T509" s="1"/>
      <c r="V509" s="1"/>
      <c r="W509" s="1"/>
      <c r="AJ509" s="1"/>
    </row>
    <row r="510" ht="14.25" customHeight="1" spans="1:36" x14ac:dyDescent="0.25">
      <c r="A510" s="1"/>
      <c r="B510" s="1"/>
      <c r="C510" s="1"/>
      <c r="D510" s="1"/>
      <c r="E510" s="1"/>
      <c r="F510" s="1"/>
      <c r="G510" s="1"/>
      <c r="H510" s="1"/>
      <c r="I510" s="1"/>
      <c r="J510" s="1"/>
      <c r="K510" s="1"/>
      <c r="L510" s="1"/>
      <c r="M510" s="1"/>
      <c r="N510" s="1"/>
      <c r="O510" s="1"/>
      <c r="Q510" s="1"/>
      <c r="R510" s="2"/>
      <c r="S510" s="1"/>
      <c r="T510" s="1"/>
      <c r="V510" s="1"/>
      <c r="W510" s="1"/>
      <c r="AJ510" s="1"/>
    </row>
    <row r="511" ht="14.25" customHeight="1" spans="1:36" x14ac:dyDescent="0.25">
      <c r="A511" s="1"/>
      <c r="B511" s="1"/>
      <c r="C511" s="1"/>
      <c r="D511" s="1"/>
      <c r="E511" s="1"/>
      <c r="F511" s="1"/>
      <c r="G511" s="1"/>
      <c r="H511" s="1"/>
      <c r="I511" s="1"/>
      <c r="J511" s="1"/>
      <c r="K511" s="1"/>
      <c r="L511" s="1"/>
      <c r="M511" s="1"/>
      <c r="N511" s="1"/>
      <c r="O511" s="1"/>
      <c r="Q511" s="1"/>
      <c r="R511" s="2"/>
      <c r="S511" s="1"/>
      <c r="T511" s="1"/>
      <c r="V511" s="1"/>
      <c r="W511" s="1"/>
      <c r="AJ511" s="1"/>
    </row>
    <row r="512" ht="14.25" customHeight="1" spans="1:36" x14ac:dyDescent="0.25">
      <c r="A512" s="1"/>
      <c r="B512" s="1"/>
      <c r="C512" s="1"/>
      <c r="D512" s="1"/>
      <c r="E512" s="1"/>
      <c r="F512" s="1"/>
      <c r="G512" s="1"/>
      <c r="H512" s="1"/>
      <c r="I512" s="1"/>
      <c r="J512" s="1"/>
      <c r="K512" s="1"/>
      <c r="L512" s="1"/>
      <c r="M512" s="1"/>
      <c r="N512" s="1"/>
      <c r="O512" s="1"/>
      <c r="Q512" s="1"/>
      <c r="R512" s="2"/>
      <c r="S512" s="1"/>
      <c r="T512" s="1"/>
      <c r="V512" s="1"/>
      <c r="W512" s="1"/>
      <c r="AJ512" s="1"/>
    </row>
    <row r="513" ht="14.25" customHeight="1" spans="1:36" x14ac:dyDescent="0.25">
      <c r="A513" s="1"/>
      <c r="B513" s="1"/>
      <c r="C513" s="1"/>
      <c r="D513" s="1"/>
      <c r="E513" s="1"/>
      <c r="F513" s="1"/>
      <c r="G513" s="1"/>
      <c r="H513" s="1"/>
      <c r="I513" s="1"/>
      <c r="J513" s="1"/>
      <c r="K513" s="1"/>
      <c r="L513" s="1"/>
      <c r="M513" s="1"/>
      <c r="N513" s="1"/>
      <c r="O513" s="1"/>
      <c r="Q513" s="1"/>
      <c r="R513" s="2"/>
      <c r="S513" s="1"/>
      <c r="T513" s="1"/>
      <c r="V513" s="1"/>
      <c r="W513" s="1"/>
      <c r="AJ513" s="1"/>
    </row>
    <row r="514" ht="14.25" customHeight="1" spans="1:36" x14ac:dyDescent="0.25">
      <c r="A514" s="1"/>
      <c r="B514" s="1"/>
      <c r="C514" s="1"/>
      <c r="D514" s="1"/>
      <c r="E514" s="1"/>
      <c r="F514" s="1"/>
      <c r="G514" s="1"/>
      <c r="H514" s="1"/>
      <c r="I514" s="1"/>
      <c r="J514" s="1"/>
      <c r="K514" s="1"/>
      <c r="L514" s="1"/>
      <c r="M514" s="1"/>
      <c r="N514" s="1"/>
      <c r="O514" s="1"/>
      <c r="Q514" s="1"/>
      <c r="R514" s="2"/>
      <c r="S514" s="1"/>
      <c r="T514" s="1"/>
      <c r="V514" s="1"/>
      <c r="W514" s="1"/>
      <c r="AJ514" s="1"/>
    </row>
    <row r="515" ht="14.25" customHeight="1" spans="1:36" x14ac:dyDescent="0.25">
      <c r="A515" s="1"/>
      <c r="B515" s="1"/>
      <c r="C515" s="1"/>
      <c r="D515" s="1"/>
      <c r="E515" s="1"/>
      <c r="F515" s="1"/>
      <c r="G515" s="1"/>
      <c r="H515" s="1"/>
      <c r="I515" s="1"/>
      <c r="J515" s="1"/>
      <c r="K515" s="1"/>
      <c r="L515" s="1"/>
      <c r="M515" s="1"/>
      <c r="N515" s="1"/>
      <c r="O515" s="1"/>
      <c r="Q515" s="1"/>
      <c r="R515" s="2"/>
      <c r="S515" s="1"/>
      <c r="T515" s="1"/>
      <c r="V515" s="1"/>
      <c r="W515" s="1"/>
      <c r="AJ515" s="1"/>
    </row>
    <row r="516" ht="14.25" customHeight="1" spans="1:36" x14ac:dyDescent="0.25">
      <c r="A516" s="1"/>
      <c r="B516" s="1"/>
      <c r="C516" s="1"/>
      <c r="D516" s="1"/>
      <c r="E516" s="1"/>
      <c r="F516" s="1"/>
      <c r="G516" s="1"/>
      <c r="H516" s="1"/>
      <c r="I516" s="1"/>
      <c r="J516" s="1"/>
      <c r="K516" s="1"/>
      <c r="L516" s="1"/>
      <c r="M516" s="1"/>
      <c r="N516" s="1"/>
      <c r="O516" s="1"/>
      <c r="Q516" s="1"/>
      <c r="R516" s="2"/>
      <c r="S516" s="1"/>
      <c r="T516" s="1"/>
      <c r="V516" s="1"/>
      <c r="W516" s="1"/>
      <c r="AJ516" s="1"/>
    </row>
    <row r="517" ht="14.25" customHeight="1" spans="1:36" x14ac:dyDescent="0.25">
      <c r="A517" s="1"/>
      <c r="B517" s="1"/>
      <c r="C517" s="1"/>
      <c r="D517" s="1"/>
      <c r="E517" s="1"/>
      <c r="F517" s="1"/>
      <c r="G517" s="1"/>
      <c r="H517" s="1"/>
      <c r="I517" s="1"/>
      <c r="J517" s="1"/>
      <c r="K517" s="1"/>
      <c r="L517" s="1"/>
      <c r="M517" s="1"/>
      <c r="N517" s="1"/>
      <c r="O517" s="1"/>
      <c r="Q517" s="1"/>
      <c r="R517" s="2"/>
      <c r="S517" s="1"/>
      <c r="T517" s="1"/>
      <c r="V517" s="1"/>
      <c r="W517" s="1"/>
      <c r="AJ517" s="1"/>
    </row>
    <row r="518" ht="14.25" customHeight="1" spans="1:36" x14ac:dyDescent="0.25">
      <c r="A518" s="1"/>
      <c r="B518" s="1"/>
      <c r="C518" s="1"/>
      <c r="D518" s="1"/>
      <c r="E518" s="1"/>
      <c r="F518" s="1"/>
      <c r="G518" s="1"/>
      <c r="H518" s="1"/>
      <c r="I518" s="1"/>
      <c r="J518" s="1"/>
      <c r="K518" s="1"/>
      <c r="L518" s="1"/>
      <c r="M518" s="1"/>
      <c r="N518" s="1"/>
      <c r="O518" s="1"/>
      <c r="Q518" s="1"/>
      <c r="R518" s="2"/>
      <c r="S518" s="1"/>
      <c r="T518" s="1"/>
      <c r="V518" s="1"/>
      <c r="W518" s="1"/>
      <c r="AJ518" s="1"/>
    </row>
    <row r="519" ht="14.25" customHeight="1" spans="1:36" x14ac:dyDescent="0.25">
      <c r="A519" s="1"/>
      <c r="B519" s="1"/>
      <c r="C519" s="1"/>
      <c r="D519" s="1"/>
      <c r="E519" s="1"/>
      <c r="F519" s="1"/>
      <c r="G519" s="1"/>
      <c r="H519" s="1"/>
      <c r="I519" s="1"/>
      <c r="J519" s="1"/>
      <c r="K519" s="1"/>
      <c r="L519" s="1"/>
      <c r="M519" s="1"/>
      <c r="N519" s="1"/>
      <c r="O519" s="1"/>
      <c r="Q519" s="1"/>
      <c r="R519" s="2"/>
      <c r="S519" s="1"/>
      <c r="T519" s="1"/>
      <c r="V519" s="1"/>
      <c r="W519" s="1"/>
      <c r="AJ519" s="1"/>
    </row>
    <row r="520" ht="14.25" customHeight="1" spans="1:36" x14ac:dyDescent="0.25">
      <c r="A520" s="1"/>
      <c r="B520" s="1"/>
      <c r="C520" s="1"/>
      <c r="D520" s="1"/>
      <c r="E520" s="1"/>
      <c r="F520" s="1"/>
      <c r="G520" s="1"/>
      <c r="H520" s="1"/>
      <c r="I520" s="1"/>
      <c r="J520" s="1"/>
      <c r="K520" s="1"/>
      <c r="L520" s="1"/>
      <c r="M520" s="1"/>
      <c r="N520" s="1"/>
      <c r="O520" s="1"/>
      <c r="Q520" s="1"/>
      <c r="R520" s="2"/>
      <c r="S520" s="1"/>
      <c r="T520" s="1"/>
      <c r="V520" s="1"/>
      <c r="W520" s="1"/>
      <c r="AJ520" s="1"/>
    </row>
    <row r="521" ht="14.25" customHeight="1" spans="1:36" x14ac:dyDescent="0.25">
      <c r="A521" s="1"/>
      <c r="B521" s="1"/>
      <c r="C521" s="1"/>
      <c r="D521" s="1"/>
      <c r="E521" s="1"/>
      <c r="F521" s="1"/>
      <c r="G521" s="1"/>
      <c r="H521" s="1"/>
      <c r="I521" s="1"/>
      <c r="J521" s="1"/>
      <c r="K521" s="1"/>
      <c r="L521" s="1"/>
      <c r="M521" s="1"/>
      <c r="N521" s="1"/>
      <c r="O521" s="1"/>
      <c r="Q521" s="1"/>
      <c r="R521" s="2"/>
      <c r="S521" s="1"/>
      <c r="T521" s="1"/>
      <c r="V521" s="1"/>
      <c r="W521" s="1"/>
      <c r="AJ521" s="1"/>
    </row>
    <row r="522" ht="14.25" customHeight="1" spans="1:36" x14ac:dyDescent="0.25">
      <c r="A522" s="1"/>
      <c r="B522" s="1"/>
      <c r="C522" s="1"/>
      <c r="D522" s="1"/>
      <c r="E522" s="1"/>
      <c r="F522" s="1"/>
      <c r="G522" s="1"/>
      <c r="H522" s="1"/>
      <c r="I522" s="1"/>
      <c r="J522" s="1"/>
      <c r="K522" s="1"/>
      <c r="L522" s="1"/>
      <c r="M522" s="1"/>
      <c r="N522" s="1"/>
      <c r="O522" s="1"/>
      <c r="Q522" s="1"/>
      <c r="R522" s="2"/>
      <c r="S522" s="1"/>
      <c r="T522" s="1"/>
      <c r="V522" s="1"/>
      <c r="W522" s="1"/>
      <c r="AJ522" s="1"/>
    </row>
    <row r="523" ht="14.25" customHeight="1" spans="1:36" x14ac:dyDescent="0.25">
      <c r="A523" s="1"/>
      <c r="B523" s="1"/>
      <c r="C523" s="1"/>
      <c r="D523" s="1"/>
      <c r="E523" s="1"/>
      <c r="F523" s="1"/>
      <c r="G523" s="1"/>
      <c r="H523" s="1"/>
      <c r="I523" s="1"/>
      <c r="J523" s="1"/>
      <c r="K523" s="1"/>
      <c r="L523" s="1"/>
      <c r="M523" s="1"/>
      <c r="N523" s="1"/>
      <c r="O523" s="1"/>
      <c r="Q523" s="1"/>
      <c r="R523" s="2"/>
      <c r="S523" s="1"/>
      <c r="T523" s="1"/>
      <c r="V523" s="1"/>
      <c r="W523" s="1"/>
      <c r="AJ523" s="1"/>
    </row>
    <row r="524" ht="14.25" customHeight="1" spans="1:36" x14ac:dyDescent="0.25">
      <c r="A524" s="1"/>
      <c r="B524" s="1"/>
      <c r="C524" s="1"/>
      <c r="D524" s="1"/>
      <c r="E524" s="1"/>
      <c r="F524" s="1"/>
      <c r="G524" s="1"/>
      <c r="H524" s="1"/>
      <c r="I524" s="1"/>
      <c r="J524" s="1"/>
      <c r="K524" s="1"/>
      <c r="L524" s="1"/>
      <c r="M524" s="1"/>
      <c r="N524" s="1"/>
      <c r="O524" s="1"/>
      <c r="Q524" s="1"/>
      <c r="R524" s="2"/>
      <c r="S524" s="1"/>
      <c r="T524" s="1"/>
      <c r="V524" s="1"/>
      <c r="W524" s="1"/>
      <c r="AJ524" s="1"/>
    </row>
    <row r="525" ht="14.25" customHeight="1" spans="1:36" x14ac:dyDescent="0.25">
      <c r="A525" s="1"/>
      <c r="B525" s="1"/>
      <c r="C525" s="1"/>
      <c r="D525" s="1"/>
      <c r="E525" s="1"/>
      <c r="F525" s="1"/>
      <c r="G525" s="1"/>
      <c r="H525" s="1"/>
      <c r="I525" s="1"/>
      <c r="J525" s="1"/>
      <c r="K525" s="1"/>
      <c r="L525" s="1"/>
      <c r="M525" s="1"/>
      <c r="N525" s="1"/>
      <c r="O525" s="1"/>
      <c r="Q525" s="1"/>
      <c r="R525" s="2"/>
      <c r="S525" s="1"/>
      <c r="T525" s="1"/>
      <c r="V525" s="1"/>
      <c r="W525" s="1"/>
      <c r="AJ525" s="1"/>
    </row>
    <row r="526" ht="14.25" customHeight="1" spans="1:36" x14ac:dyDescent="0.25">
      <c r="A526" s="1"/>
      <c r="B526" s="1"/>
      <c r="C526" s="1"/>
      <c r="D526" s="1"/>
      <c r="E526" s="1"/>
      <c r="F526" s="1"/>
      <c r="G526" s="1"/>
      <c r="H526" s="1"/>
      <c r="I526" s="1"/>
      <c r="J526" s="1"/>
      <c r="K526" s="1"/>
      <c r="L526" s="1"/>
      <c r="M526" s="1"/>
      <c r="N526" s="1"/>
      <c r="O526" s="1"/>
      <c r="Q526" s="1"/>
      <c r="R526" s="2"/>
      <c r="S526" s="1"/>
      <c r="T526" s="1"/>
      <c r="V526" s="1"/>
      <c r="W526" s="1"/>
      <c r="AJ526" s="1"/>
    </row>
    <row r="527" ht="14.25" customHeight="1" spans="1:36" x14ac:dyDescent="0.25">
      <c r="A527" s="1"/>
      <c r="B527" s="1"/>
      <c r="C527" s="1"/>
      <c r="D527" s="1"/>
      <c r="E527" s="1"/>
      <c r="F527" s="1"/>
      <c r="G527" s="1"/>
      <c r="H527" s="1"/>
      <c r="I527" s="1"/>
      <c r="J527" s="1"/>
      <c r="K527" s="1"/>
      <c r="L527" s="1"/>
      <c r="M527" s="1"/>
      <c r="N527" s="1"/>
      <c r="O527" s="1"/>
      <c r="Q527" s="1"/>
      <c r="R527" s="2"/>
      <c r="S527" s="1"/>
      <c r="T527" s="1"/>
      <c r="V527" s="1"/>
      <c r="W527" s="1"/>
      <c r="AJ527" s="1"/>
    </row>
    <row r="528" ht="14.25" customHeight="1" spans="1:36" x14ac:dyDescent="0.25">
      <c r="A528" s="1"/>
      <c r="B528" s="1"/>
      <c r="C528" s="1"/>
      <c r="D528" s="1"/>
      <c r="E528" s="1"/>
      <c r="F528" s="1"/>
      <c r="G528" s="1"/>
      <c r="H528" s="1"/>
      <c r="I528" s="1"/>
      <c r="J528" s="1"/>
      <c r="K528" s="1"/>
      <c r="L528" s="1"/>
      <c r="M528" s="1"/>
      <c r="N528" s="1"/>
      <c r="O528" s="1"/>
      <c r="Q528" s="1"/>
      <c r="R528" s="2"/>
      <c r="S528" s="1"/>
      <c r="T528" s="1"/>
      <c r="V528" s="1"/>
      <c r="W528" s="1"/>
      <c r="AJ528" s="1"/>
    </row>
    <row r="529" ht="14.25" customHeight="1" spans="1:36" x14ac:dyDescent="0.25">
      <c r="A529" s="1"/>
      <c r="B529" s="1"/>
      <c r="C529" s="1"/>
      <c r="D529" s="1"/>
      <c r="E529" s="1"/>
      <c r="F529" s="1"/>
      <c r="G529" s="1"/>
      <c r="H529" s="1"/>
      <c r="I529" s="1"/>
      <c r="J529" s="1"/>
      <c r="K529" s="1"/>
      <c r="L529" s="1"/>
      <c r="M529" s="1"/>
      <c r="N529" s="1"/>
      <c r="O529" s="1"/>
      <c r="Q529" s="1"/>
      <c r="R529" s="2"/>
      <c r="S529" s="1"/>
      <c r="T529" s="1"/>
      <c r="V529" s="1"/>
      <c r="W529" s="1"/>
      <c r="AJ529" s="1"/>
    </row>
    <row r="530" ht="14.25" customHeight="1" spans="1:36" x14ac:dyDescent="0.25">
      <c r="A530" s="1"/>
      <c r="B530" s="1"/>
      <c r="C530" s="1"/>
      <c r="D530" s="1"/>
      <c r="E530" s="1"/>
      <c r="F530" s="1"/>
      <c r="G530" s="1"/>
      <c r="H530" s="1"/>
      <c r="I530" s="1"/>
      <c r="J530" s="1"/>
      <c r="K530" s="1"/>
      <c r="L530" s="1"/>
      <c r="M530" s="1"/>
      <c r="N530" s="1"/>
      <c r="O530" s="1"/>
      <c r="Q530" s="1"/>
      <c r="R530" s="2"/>
      <c r="S530" s="1"/>
      <c r="T530" s="1"/>
      <c r="V530" s="1"/>
      <c r="W530" s="1"/>
      <c r="AJ530" s="1"/>
    </row>
    <row r="531" ht="14.25" customHeight="1" spans="1:36" x14ac:dyDescent="0.25">
      <c r="A531" s="1"/>
      <c r="B531" s="1"/>
      <c r="C531" s="1"/>
      <c r="D531" s="1"/>
      <c r="E531" s="1"/>
      <c r="F531" s="1"/>
      <c r="G531" s="1"/>
      <c r="H531" s="1"/>
      <c r="I531" s="1"/>
      <c r="J531" s="1"/>
      <c r="K531" s="1"/>
      <c r="L531" s="1"/>
      <c r="M531" s="1"/>
      <c r="N531" s="1"/>
      <c r="O531" s="1"/>
      <c r="Q531" s="1"/>
      <c r="R531" s="2"/>
      <c r="S531" s="1"/>
      <c r="T531" s="1"/>
      <c r="V531" s="1"/>
      <c r="W531" s="1"/>
      <c r="AJ531" s="1"/>
    </row>
    <row r="532" ht="14.25" customHeight="1" spans="1:36" x14ac:dyDescent="0.25">
      <c r="A532" s="1"/>
      <c r="B532" s="1"/>
      <c r="C532" s="1"/>
      <c r="D532" s="1"/>
      <c r="E532" s="1"/>
      <c r="F532" s="1"/>
      <c r="G532" s="1"/>
      <c r="H532" s="1"/>
      <c r="I532" s="1"/>
      <c r="J532" s="1"/>
      <c r="K532" s="1"/>
      <c r="L532" s="1"/>
      <c r="M532" s="1"/>
      <c r="N532" s="1"/>
      <c r="O532" s="1"/>
      <c r="Q532" s="1"/>
      <c r="R532" s="2"/>
      <c r="S532" s="1"/>
      <c r="T532" s="1"/>
      <c r="V532" s="1"/>
      <c r="W532" s="1"/>
      <c r="AJ532" s="1"/>
    </row>
    <row r="533" ht="14.25" customHeight="1" spans="1:36" x14ac:dyDescent="0.25">
      <c r="A533" s="1"/>
      <c r="B533" s="1"/>
      <c r="C533" s="1"/>
      <c r="D533" s="1"/>
      <c r="E533" s="1"/>
      <c r="F533" s="1"/>
      <c r="G533" s="1"/>
      <c r="H533" s="1"/>
      <c r="I533" s="1"/>
      <c r="J533" s="1"/>
      <c r="K533" s="1"/>
      <c r="L533" s="1"/>
      <c r="M533" s="1"/>
      <c r="N533" s="1"/>
      <c r="O533" s="1"/>
      <c r="Q533" s="1"/>
      <c r="R533" s="2"/>
      <c r="S533" s="1"/>
      <c r="T533" s="1"/>
      <c r="V533" s="1"/>
      <c r="W533" s="1"/>
      <c r="AJ533" s="1"/>
    </row>
    <row r="534" ht="14.25" customHeight="1" spans="1:36" x14ac:dyDescent="0.25">
      <c r="A534" s="1"/>
      <c r="B534" s="1"/>
      <c r="C534" s="1"/>
      <c r="D534" s="1"/>
      <c r="E534" s="1"/>
      <c r="F534" s="1"/>
      <c r="G534" s="1"/>
      <c r="H534" s="1"/>
      <c r="I534" s="1"/>
      <c r="J534" s="1"/>
      <c r="K534" s="1"/>
      <c r="L534" s="1"/>
      <c r="M534" s="1"/>
      <c r="N534" s="1"/>
      <c r="O534" s="1"/>
      <c r="Q534" s="1"/>
      <c r="R534" s="2"/>
      <c r="S534" s="1"/>
      <c r="T534" s="1"/>
      <c r="V534" s="1"/>
      <c r="W534" s="1"/>
      <c r="AJ534" s="1"/>
    </row>
    <row r="535" ht="14.25" customHeight="1" spans="1:36" x14ac:dyDescent="0.25">
      <c r="A535" s="1"/>
      <c r="B535" s="1"/>
      <c r="C535" s="1"/>
      <c r="D535" s="1"/>
      <c r="E535" s="1"/>
      <c r="F535" s="1"/>
      <c r="G535" s="1"/>
      <c r="H535" s="1"/>
      <c r="I535" s="1"/>
      <c r="J535" s="1"/>
      <c r="K535" s="1"/>
      <c r="L535" s="1"/>
      <c r="M535" s="1"/>
      <c r="N535" s="1"/>
      <c r="O535" s="1"/>
      <c r="Q535" s="1"/>
      <c r="R535" s="2"/>
      <c r="S535" s="1"/>
      <c r="T535" s="1"/>
      <c r="V535" s="1"/>
      <c r="W535" s="1"/>
      <c r="AJ535" s="1"/>
    </row>
    <row r="536" ht="14.25" customHeight="1" spans="1:36" x14ac:dyDescent="0.25">
      <c r="A536" s="1"/>
      <c r="B536" s="1"/>
      <c r="C536" s="1"/>
      <c r="D536" s="1"/>
      <c r="E536" s="1"/>
      <c r="F536" s="1"/>
      <c r="G536" s="1"/>
      <c r="H536" s="1"/>
      <c r="I536" s="1"/>
      <c r="J536" s="1"/>
      <c r="K536" s="1"/>
      <c r="L536" s="1"/>
      <c r="M536" s="1"/>
      <c r="N536" s="1"/>
      <c r="O536" s="1"/>
      <c r="Q536" s="1"/>
      <c r="R536" s="2"/>
      <c r="S536" s="1"/>
      <c r="T536" s="1"/>
      <c r="V536" s="1"/>
      <c r="W536" s="1"/>
      <c r="AJ536" s="1"/>
    </row>
    <row r="537" ht="14.25" customHeight="1" spans="1:36" x14ac:dyDescent="0.25">
      <c r="A537" s="1"/>
      <c r="B537" s="1"/>
      <c r="C537" s="1"/>
      <c r="D537" s="1"/>
      <c r="E537" s="1"/>
      <c r="F537" s="1"/>
      <c r="G537" s="1"/>
      <c r="H537" s="1"/>
      <c r="I537" s="1"/>
      <c r="J537" s="1"/>
      <c r="K537" s="1"/>
      <c r="L537" s="1"/>
      <c r="M537" s="1"/>
      <c r="N537" s="1"/>
      <c r="O537" s="1"/>
      <c r="Q537" s="1"/>
      <c r="R537" s="2"/>
      <c r="S537" s="1"/>
      <c r="T537" s="1"/>
      <c r="V537" s="1"/>
      <c r="W537" s="1"/>
      <c r="AJ537" s="1"/>
    </row>
    <row r="538" ht="14.25" customHeight="1" spans="1:36" x14ac:dyDescent="0.25">
      <c r="A538" s="1"/>
      <c r="B538" s="1"/>
      <c r="C538" s="1"/>
      <c r="D538" s="1"/>
      <c r="E538" s="1"/>
      <c r="F538" s="1"/>
      <c r="G538" s="1"/>
      <c r="H538" s="1"/>
      <c r="I538" s="1"/>
      <c r="J538" s="1"/>
      <c r="K538" s="1"/>
      <c r="L538" s="1"/>
      <c r="M538" s="1"/>
      <c r="N538" s="1"/>
      <c r="O538" s="1"/>
      <c r="Q538" s="1"/>
      <c r="R538" s="2"/>
      <c r="S538" s="1"/>
      <c r="T538" s="1"/>
      <c r="V538" s="1"/>
      <c r="W538" s="1"/>
      <c r="AJ538" s="1"/>
    </row>
    <row r="539" ht="14.25" customHeight="1" spans="1:36" x14ac:dyDescent="0.25">
      <c r="A539" s="1"/>
      <c r="B539" s="1"/>
      <c r="C539" s="1"/>
      <c r="D539" s="1"/>
      <c r="E539" s="1"/>
      <c r="F539" s="1"/>
      <c r="G539" s="1"/>
      <c r="H539" s="1"/>
      <c r="I539" s="1"/>
      <c r="J539" s="1"/>
      <c r="K539" s="1"/>
      <c r="L539" s="1"/>
      <c r="M539" s="1"/>
      <c r="N539" s="1"/>
      <c r="O539" s="1"/>
      <c r="Q539" s="1"/>
      <c r="R539" s="2"/>
      <c r="S539" s="1"/>
      <c r="T539" s="1"/>
      <c r="V539" s="1"/>
      <c r="W539" s="1"/>
      <c r="AJ539" s="1"/>
    </row>
    <row r="540" ht="14.25" customHeight="1" spans="1:36" x14ac:dyDescent="0.25">
      <c r="A540" s="1"/>
      <c r="B540" s="1"/>
      <c r="C540" s="1"/>
      <c r="D540" s="1"/>
      <c r="E540" s="1"/>
      <c r="F540" s="1"/>
      <c r="G540" s="1"/>
      <c r="H540" s="1"/>
      <c r="I540" s="1"/>
      <c r="J540" s="1"/>
      <c r="K540" s="1"/>
      <c r="L540" s="1"/>
      <c r="M540" s="1"/>
      <c r="N540" s="1"/>
      <c r="O540" s="1"/>
      <c r="Q540" s="1"/>
      <c r="R540" s="2"/>
      <c r="S540" s="1"/>
      <c r="T540" s="1"/>
      <c r="V540" s="1"/>
      <c r="W540" s="1"/>
      <c r="AJ540" s="1"/>
    </row>
    <row r="541" ht="14.25" customHeight="1" spans="1:36" x14ac:dyDescent="0.25">
      <c r="A541" s="1"/>
      <c r="B541" s="1"/>
      <c r="C541" s="1"/>
      <c r="D541" s="1"/>
      <c r="E541" s="1"/>
      <c r="F541" s="1"/>
      <c r="G541" s="1"/>
      <c r="H541" s="1"/>
      <c r="I541" s="1"/>
      <c r="J541" s="1"/>
      <c r="K541" s="1"/>
      <c r="L541" s="1"/>
      <c r="M541" s="1"/>
      <c r="N541" s="1"/>
      <c r="O541" s="1"/>
      <c r="Q541" s="1"/>
      <c r="R541" s="2"/>
      <c r="S541" s="1"/>
      <c r="T541" s="1"/>
      <c r="V541" s="1"/>
      <c r="W541" s="1"/>
      <c r="AJ541" s="1"/>
    </row>
    <row r="542" ht="14.25" customHeight="1" spans="1:36" x14ac:dyDescent="0.25">
      <c r="A542" s="1"/>
      <c r="B542" s="1"/>
      <c r="C542" s="1"/>
      <c r="D542" s="1"/>
      <c r="E542" s="1"/>
      <c r="F542" s="1"/>
      <c r="G542" s="1"/>
      <c r="H542" s="1"/>
      <c r="I542" s="1"/>
      <c r="J542" s="1"/>
      <c r="K542" s="1"/>
      <c r="L542" s="1"/>
      <c r="M542" s="1"/>
      <c r="N542" s="1"/>
      <c r="O542" s="1"/>
      <c r="Q542" s="1"/>
      <c r="R542" s="2"/>
      <c r="S542" s="1"/>
      <c r="T542" s="1"/>
      <c r="V542" s="1"/>
      <c r="W542" s="1"/>
      <c r="AJ542" s="1"/>
    </row>
    <row r="543" ht="14.25" customHeight="1" spans="1:36" x14ac:dyDescent="0.25">
      <c r="A543" s="1"/>
      <c r="B543" s="1"/>
      <c r="C543" s="1"/>
      <c r="D543" s="1"/>
      <c r="E543" s="1"/>
      <c r="F543" s="1"/>
      <c r="G543" s="1"/>
      <c r="H543" s="1"/>
      <c r="I543" s="1"/>
      <c r="J543" s="1"/>
      <c r="K543" s="1"/>
      <c r="L543" s="1"/>
      <c r="M543" s="1"/>
      <c r="N543" s="1"/>
      <c r="O543" s="1"/>
      <c r="Q543" s="1"/>
      <c r="R543" s="2"/>
      <c r="S543" s="1"/>
      <c r="T543" s="1"/>
      <c r="V543" s="1"/>
      <c r="W543" s="1"/>
      <c r="AJ543" s="1"/>
    </row>
    <row r="544" ht="14.25" customHeight="1" spans="1:36" x14ac:dyDescent="0.25">
      <c r="A544" s="1"/>
      <c r="B544" s="1"/>
      <c r="C544" s="1"/>
      <c r="D544" s="1"/>
      <c r="E544" s="1"/>
      <c r="F544" s="1"/>
      <c r="G544" s="1"/>
      <c r="H544" s="1"/>
      <c r="I544" s="1"/>
      <c r="J544" s="1"/>
      <c r="K544" s="1"/>
      <c r="L544" s="1"/>
      <c r="M544" s="1"/>
      <c r="N544" s="1"/>
      <c r="O544" s="1"/>
      <c r="Q544" s="1"/>
      <c r="R544" s="2"/>
      <c r="S544" s="1"/>
      <c r="T544" s="1"/>
      <c r="V544" s="1"/>
      <c r="W544" s="1"/>
      <c r="AJ544" s="1"/>
    </row>
    <row r="545" ht="14.25" customHeight="1" spans="1:36" x14ac:dyDescent="0.25">
      <c r="A545" s="1"/>
      <c r="B545" s="1"/>
      <c r="C545" s="1"/>
      <c r="D545" s="1"/>
      <c r="E545" s="1"/>
      <c r="F545" s="1"/>
      <c r="G545" s="1"/>
      <c r="H545" s="1"/>
      <c r="I545" s="1"/>
      <c r="J545" s="1"/>
      <c r="K545" s="1"/>
      <c r="L545" s="1"/>
      <c r="M545" s="1"/>
      <c r="N545" s="1"/>
      <c r="O545" s="1"/>
      <c r="Q545" s="1"/>
      <c r="R545" s="2"/>
      <c r="S545" s="1"/>
      <c r="T545" s="1"/>
      <c r="V545" s="1"/>
      <c r="W545" s="1"/>
      <c r="AJ545" s="1"/>
    </row>
    <row r="546" ht="14.25" customHeight="1" spans="1:36" x14ac:dyDescent="0.25">
      <c r="A546" s="1"/>
      <c r="B546" s="1"/>
      <c r="C546" s="1"/>
      <c r="D546" s="1"/>
      <c r="E546" s="1"/>
      <c r="F546" s="1"/>
      <c r="G546" s="1"/>
      <c r="H546" s="1"/>
      <c r="I546" s="1"/>
      <c r="J546" s="1"/>
      <c r="K546" s="1"/>
      <c r="L546" s="1"/>
      <c r="M546" s="1"/>
      <c r="N546" s="1"/>
      <c r="O546" s="1"/>
      <c r="Q546" s="1"/>
      <c r="R546" s="2"/>
      <c r="S546" s="1"/>
      <c r="T546" s="1"/>
      <c r="V546" s="1"/>
      <c r="W546" s="1"/>
      <c r="AJ546" s="1"/>
    </row>
    <row r="547" ht="14.25" customHeight="1" spans="1:36" x14ac:dyDescent="0.25">
      <c r="A547" s="1"/>
      <c r="B547" s="1"/>
      <c r="C547" s="1"/>
      <c r="D547" s="1"/>
      <c r="E547" s="1"/>
      <c r="F547" s="1"/>
      <c r="G547" s="1"/>
      <c r="H547" s="1"/>
      <c r="I547" s="1"/>
      <c r="J547" s="1"/>
      <c r="K547" s="1"/>
      <c r="L547" s="1"/>
      <c r="M547" s="1"/>
      <c r="N547" s="1"/>
      <c r="O547" s="1"/>
      <c r="Q547" s="1"/>
      <c r="R547" s="2"/>
      <c r="S547" s="1"/>
      <c r="T547" s="1"/>
      <c r="V547" s="1"/>
      <c r="W547" s="1"/>
      <c r="AJ547" s="1"/>
    </row>
    <row r="548" ht="14.25" customHeight="1" spans="1:36" x14ac:dyDescent="0.25">
      <c r="A548" s="1"/>
      <c r="B548" s="1"/>
      <c r="C548" s="1"/>
      <c r="D548" s="1"/>
      <c r="E548" s="1"/>
      <c r="F548" s="1"/>
      <c r="G548" s="1"/>
      <c r="H548" s="1"/>
      <c r="I548" s="1"/>
      <c r="J548" s="1"/>
      <c r="K548" s="1"/>
      <c r="L548" s="1"/>
      <c r="M548" s="1"/>
      <c r="N548" s="1"/>
      <c r="O548" s="1"/>
      <c r="Q548" s="1"/>
      <c r="R548" s="2"/>
      <c r="S548" s="1"/>
      <c r="T548" s="1"/>
      <c r="V548" s="1"/>
      <c r="W548" s="1"/>
      <c r="AJ548" s="1"/>
    </row>
    <row r="549" ht="14.25" customHeight="1" spans="1:36" x14ac:dyDescent="0.25">
      <c r="A549" s="1"/>
      <c r="B549" s="1"/>
      <c r="C549" s="1"/>
      <c r="D549" s="1"/>
      <c r="E549" s="1"/>
      <c r="F549" s="1"/>
      <c r="G549" s="1"/>
      <c r="H549" s="1"/>
      <c r="I549" s="1"/>
      <c r="J549" s="1"/>
      <c r="K549" s="1"/>
      <c r="L549" s="1"/>
      <c r="M549" s="1"/>
      <c r="N549" s="1"/>
      <c r="O549" s="1"/>
      <c r="Q549" s="1"/>
      <c r="R549" s="2"/>
      <c r="S549" s="1"/>
      <c r="T549" s="1"/>
      <c r="V549" s="1"/>
      <c r="W549" s="1"/>
      <c r="AJ549" s="1"/>
    </row>
    <row r="550" ht="14.25" customHeight="1" spans="1:36" x14ac:dyDescent="0.25">
      <c r="A550" s="1"/>
      <c r="B550" s="1"/>
      <c r="C550" s="1"/>
      <c r="D550" s="1"/>
      <c r="E550" s="1"/>
      <c r="F550" s="1"/>
      <c r="G550" s="1"/>
      <c r="H550" s="1"/>
      <c r="I550" s="1"/>
      <c r="J550" s="1"/>
      <c r="K550" s="1"/>
      <c r="L550" s="1"/>
      <c r="M550" s="1"/>
      <c r="N550" s="1"/>
      <c r="O550" s="1"/>
      <c r="Q550" s="1"/>
      <c r="R550" s="2"/>
      <c r="S550" s="1"/>
      <c r="T550" s="1"/>
      <c r="V550" s="1"/>
      <c r="W550" s="1"/>
      <c r="AJ550" s="1"/>
    </row>
    <row r="551" ht="14.25" customHeight="1" spans="1:36" x14ac:dyDescent="0.25">
      <c r="A551" s="1"/>
      <c r="B551" s="1"/>
      <c r="C551" s="1"/>
      <c r="D551" s="1"/>
      <c r="E551" s="1"/>
      <c r="F551" s="1"/>
      <c r="G551" s="1"/>
      <c r="H551" s="1"/>
      <c r="I551" s="1"/>
      <c r="J551" s="1"/>
      <c r="K551" s="1"/>
      <c r="L551" s="1"/>
      <c r="M551" s="1"/>
      <c r="N551" s="1"/>
      <c r="O551" s="1"/>
      <c r="Q551" s="1"/>
      <c r="R551" s="2"/>
      <c r="S551" s="1"/>
      <c r="T551" s="1"/>
      <c r="V551" s="1"/>
      <c r="W551" s="1"/>
      <c r="AJ551" s="1"/>
    </row>
    <row r="552" ht="14.25" customHeight="1" spans="1:36" x14ac:dyDescent="0.25">
      <c r="A552" s="1"/>
      <c r="B552" s="1"/>
      <c r="C552" s="1"/>
      <c r="D552" s="1"/>
      <c r="E552" s="1"/>
      <c r="F552" s="1"/>
      <c r="G552" s="1"/>
      <c r="H552" s="1"/>
      <c r="I552" s="1"/>
      <c r="J552" s="1"/>
      <c r="K552" s="1"/>
      <c r="L552" s="1"/>
      <c r="M552" s="1"/>
      <c r="N552" s="1"/>
      <c r="O552" s="1"/>
      <c r="Q552" s="1"/>
      <c r="R552" s="2"/>
      <c r="S552" s="1"/>
      <c r="T552" s="1"/>
      <c r="V552" s="1"/>
      <c r="W552" s="1"/>
      <c r="AJ552" s="1"/>
    </row>
    <row r="553" ht="14.25" customHeight="1" spans="1:36" x14ac:dyDescent="0.25">
      <c r="A553" s="1"/>
      <c r="B553" s="1"/>
      <c r="C553" s="1"/>
      <c r="D553" s="1"/>
      <c r="E553" s="1"/>
      <c r="F553" s="1"/>
      <c r="G553" s="1"/>
      <c r="H553" s="1"/>
      <c r="I553" s="1"/>
      <c r="J553" s="1"/>
      <c r="K553" s="1"/>
      <c r="L553" s="1"/>
      <c r="M553" s="1"/>
      <c r="N553" s="1"/>
      <c r="O553" s="1"/>
      <c r="Q553" s="1"/>
      <c r="R553" s="2"/>
      <c r="S553" s="1"/>
      <c r="T553" s="1"/>
      <c r="V553" s="1"/>
      <c r="W553" s="1"/>
      <c r="AJ553" s="1"/>
    </row>
    <row r="554" ht="14.25" customHeight="1" spans="1:36" x14ac:dyDescent="0.25">
      <c r="A554" s="1"/>
      <c r="B554" s="1"/>
      <c r="C554" s="1"/>
      <c r="D554" s="1"/>
      <c r="E554" s="1"/>
      <c r="F554" s="1"/>
      <c r="G554" s="1"/>
      <c r="H554" s="1"/>
      <c r="I554" s="1"/>
      <c r="J554" s="1"/>
      <c r="K554" s="1"/>
      <c r="L554" s="1"/>
      <c r="M554" s="1"/>
      <c r="N554" s="1"/>
      <c r="O554" s="1"/>
      <c r="Q554" s="1"/>
      <c r="R554" s="2"/>
      <c r="S554" s="1"/>
      <c r="T554" s="1"/>
      <c r="V554" s="1"/>
      <c r="W554" s="1"/>
      <c r="AJ554" s="1"/>
    </row>
    <row r="555" ht="14.25" customHeight="1" spans="1:36" x14ac:dyDescent="0.25">
      <c r="A555" s="1"/>
      <c r="B555" s="1"/>
      <c r="C555" s="1"/>
      <c r="D555" s="1"/>
      <c r="E555" s="1"/>
      <c r="F555" s="1"/>
      <c r="G555" s="1"/>
      <c r="H555" s="1"/>
      <c r="I555" s="1"/>
      <c r="J555" s="1"/>
      <c r="K555" s="1"/>
      <c r="L555" s="1"/>
      <c r="M555" s="1"/>
      <c r="N555" s="1"/>
      <c r="O555" s="1"/>
      <c r="Q555" s="1"/>
      <c r="R555" s="2"/>
      <c r="S555" s="1"/>
      <c r="T555" s="1"/>
      <c r="V555" s="1"/>
      <c r="W555" s="1"/>
      <c r="AJ555" s="1"/>
    </row>
    <row r="556" ht="14.25" customHeight="1" spans="1:36" x14ac:dyDescent="0.25">
      <c r="A556" s="1"/>
      <c r="B556" s="1"/>
      <c r="C556" s="1"/>
      <c r="D556" s="1"/>
      <c r="E556" s="1"/>
      <c r="F556" s="1"/>
      <c r="G556" s="1"/>
      <c r="H556" s="1"/>
      <c r="I556" s="1"/>
      <c r="J556" s="1"/>
      <c r="K556" s="1"/>
      <c r="L556" s="1"/>
      <c r="M556" s="1"/>
      <c r="N556" s="1"/>
      <c r="O556" s="1"/>
      <c r="Q556" s="1"/>
      <c r="R556" s="2"/>
      <c r="S556" s="1"/>
      <c r="T556" s="1"/>
      <c r="V556" s="1"/>
      <c r="W556" s="1"/>
      <c r="AJ556" s="1"/>
    </row>
    <row r="557" ht="14.25" customHeight="1" spans="1:36" x14ac:dyDescent="0.25">
      <c r="A557" s="1"/>
      <c r="B557" s="1"/>
      <c r="C557" s="1"/>
      <c r="D557" s="1"/>
      <c r="E557" s="1"/>
      <c r="F557" s="1"/>
      <c r="G557" s="1"/>
      <c r="H557" s="1"/>
      <c r="I557" s="1"/>
      <c r="J557" s="1"/>
      <c r="K557" s="1"/>
      <c r="L557" s="1"/>
      <c r="M557" s="1"/>
      <c r="N557" s="1"/>
      <c r="O557" s="1"/>
      <c r="Q557" s="1"/>
      <c r="R557" s="2"/>
      <c r="S557" s="1"/>
      <c r="T557" s="1"/>
      <c r="V557" s="1"/>
      <c r="W557" s="1"/>
      <c r="AJ557" s="1"/>
    </row>
    <row r="558" ht="14.25" customHeight="1" spans="1:36" x14ac:dyDescent="0.25">
      <c r="A558" s="1"/>
      <c r="B558" s="1"/>
      <c r="C558" s="1"/>
      <c r="D558" s="1"/>
      <c r="E558" s="1"/>
      <c r="F558" s="1"/>
      <c r="G558" s="1"/>
      <c r="H558" s="1"/>
      <c r="I558" s="1"/>
      <c r="J558" s="1"/>
      <c r="K558" s="1"/>
      <c r="L558" s="1"/>
      <c r="M558" s="1"/>
      <c r="N558" s="1"/>
      <c r="O558" s="1"/>
      <c r="Q558" s="1"/>
      <c r="R558" s="2"/>
      <c r="S558" s="1"/>
      <c r="T558" s="1"/>
      <c r="V558" s="1"/>
      <c r="W558" s="1"/>
      <c r="AJ558" s="1"/>
    </row>
    <row r="559" ht="14.25" customHeight="1" spans="1:36" x14ac:dyDescent="0.25">
      <c r="A559" s="1"/>
      <c r="B559" s="1"/>
      <c r="C559" s="1"/>
      <c r="D559" s="1"/>
      <c r="E559" s="1"/>
      <c r="F559" s="1"/>
      <c r="G559" s="1"/>
      <c r="H559" s="1"/>
      <c r="I559" s="1"/>
      <c r="J559" s="1"/>
      <c r="K559" s="1"/>
      <c r="L559" s="1"/>
      <c r="M559" s="1"/>
      <c r="N559" s="1"/>
      <c r="O559" s="1"/>
      <c r="Q559" s="1"/>
      <c r="R559" s="2"/>
      <c r="S559" s="1"/>
      <c r="T559" s="1"/>
      <c r="V559" s="1"/>
      <c r="W559" s="1"/>
      <c r="AJ559" s="1"/>
    </row>
    <row r="560" ht="14.25" customHeight="1" spans="1:36" x14ac:dyDescent="0.25">
      <c r="A560" s="1"/>
      <c r="B560" s="1"/>
      <c r="C560" s="1"/>
      <c r="D560" s="1"/>
      <c r="E560" s="1"/>
      <c r="F560" s="1"/>
      <c r="G560" s="1"/>
      <c r="H560" s="1"/>
      <c r="I560" s="1"/>
      <c r="J560" s="1"/>
      <c r="K560" s="1"/>
      <c r="L560" s="1"/>
      <c r="M560" s="1"/>
      <c r="N560" s="1"/>
      <c r="O560" s="1"/>
      <c r="Q560" s="1"/>
      <c r="R560" s="2"/>
      <c r="S560" s="1"/>
      <c r="T560" s="1"/>
      <c r="V560" s="1"/>
      <c r="W560" s="1"/>
      <c r="AJ560" s="1"/>
    </row>
    <row r="561" ht="14.25" customHeight="1" spans="1:36" x14ac:dyDescent="0.25">
      <c r="A561" s="1"/>
      <c r="B561" s="1"/>
      <c r="C561" s="1"/>
      <c r="D561" s="1"/>
      <c r="E561" s="1"/>
      <c r="F561" s="1"/>
      <c r="G561" s="1"/>
      <c r="H561" s="1"/>
      <c r="I561" s="1"/>
      <c r="J561" s="1"/>
      <c r="K561" s="1"/>
      <c r="L561" s="1"/>
      <c r="M561" s="1"/>
      <c r="N561" s="1"/>
      <c r="O561" s="1"/>
      <c r="Q561" s="1"/>
      <c r="R561" s="2"/>
      <c r="S561" s="1"/>
      <c r="T561" s="1"/>
      <c r="V561" s="1"/>
      <c r="W561" s="1"/>
      <c r="AJ561" s="1"/>
    </row>
    <row r="562" ht="14.25" customHeight="1" spans="1:36" x14ac:dyDescent="0.25">
      <c r="A562" s="1"/>
      <c r="B562" s="1"/>
      <c r="C562" s="1"/>
      <c r="D562" s="1"/>
      <c r="E562" s="1"/>
      <c r="F562" s="1"/>
      <c r="G562" s="1"/>
      <c r="H562" s="1"/>
      <c r="I562" s="1"/>
      <c r="J562" s="1"/>
      <c r="K562" s="1"/>
      <c r="L562" s="1"/>
      <c r="M562" s="1"/>
      <c r="N562" s="1"/>
      <c r="O562" s="1"/>
      <c r="Q562" s="1"/>
      <c r="R562" s="2"/>
      <c r="S562" s="1"/>
      <c r="T562" s="1"/>
      <c r="V562" s="1"/>
      <c r="W562" s="1"/>
      <c r="AJ562" s="1"/>
    </row>
    <row r="563" ht="14.25" customHeight="1" spans="1:36" x14ac:dyDescent="0.25">
      <c r="A563" s="1"/>
      <c r="B563" s="1"/>
      <c r="C563" s="1"/>
      <c r="D563" s="1"/>
      <c r="E563" s="1"/>
      <c r="F563" s="1"/>
      <c r="G563" s="1"/>
      <c r="H563" s="1"/>
      <c r="I563" s="1"/>
      <c r="J563" s="1"/>
      <c r="K563" s="1"/>
      <c r="L563" s="1"/>
      <c r="M563" s="1"/>
      <c r="N563" s="1"/>
      <c r="O563" s="1"/>
      <c r="Q563" s="1"/>
      <c r="R563" s="2"/>
      <c r="S563" s="1"/>
      <c r="T563" s="1"/>
      <c r="V563" s="1"/>
      <c r="W563" s="1"/>
      <c r="AJ563" s="1"/>
    </row>
    <row r="564" ht="14.25" customHeight="1" spans="1:36" x14ac:dyDescent="0.25">
      <c r="A564" s="1"/>
      <c r="B564" s="1"/>
      <c r="C564" s="1"/>
      <c r="D564" s="1"/>
      <c r="E564" s="1"/>
      <c r="F564" s="1"/>
      <c r="G564" s="1"/>
      <c r="H564" s="1"/>
      <c r="I564" s="1"/>
      <c r="J564" s="1"/>
      <c r="K564" s="1"/>
      <c r="L564" s="1"/>
      <c r="M564" s="1"/>
      <c r="N564" s="1"/>
      <c r="O564" s="1"/>
      <c r="Q564" s="1"/>
      <c r="R564" s="2"/>
      <c r="S564" s="1"/>
      <c r="T564" s="1"/>
      <c r="V564" s="1"/>
      <c r="W564" s="1"/>
      <c r="AJ564" s="1"/>
    </row>
    <row r="565" ht="14.25" customHeight="1" spans="1:36" x14ac:dyDescent="0.25">
      <c r="A565" s="1"/>
      <c r="B565" s="1"/>
      <c r="C565" s="1"/>
      <c r="D565" s="1"/>
      <c r="E565" s="1"/>
      <c r="F565" s="1"/>
      <c r="G565" s="1"/>
      <c r="H565" s="1"/>
      <c r="I565" s="1"/>
      <c r="J565" s="1"/>
      <c r="K565" s="1"/>
      <c r="L565" s="1"/>
      <c r="M565" s="1"/>
      <c r="N565" s="1"/>
      <c r="O565" s="1"/>
      <c r="Q565" s="1"/>
      <c r="R565" s="2"/>
      <c r="S565" s="1"/>
      <c r="T565" s="1"/>
      <c r="V565" s="1"/>
      <c r="W565" s="1"/>
      <c r="AJ565" s="1"/>
    </row>
    <row r="566" ht="14.25" customHeight="1" spans="1:36" x14ac:dyDescent="0.25">
      <c r="A566" s="1"/>
      <c r="B566" s="1"/>
      <c r="C566" s="1"/>
      <c r="D566" s="1"/>
      <c r="E566" s="1"/>
      <c r="F566" s="1"/>
      <c r="G566" s="1"/>
      <c r="H566" s="1"/>
      <c r="I566" s="1"/>
      <c r="J566" s="1"/>
      <c r="K566" s="1"/>
      <c r="L566" s="1"/>
      <c r="M566" s="1"/>
      <c r="N566" s="1"/>
      <c r="O566" s="1"/>
      <c r="Q566" s="1"/>
      <c r="R566" s="2"/>
      <c r="S566" s="1"/>
      <c r="T566" s="1"/>
      <c r="V566" s="1"/>
      <c r="W566" s="1"/>
      <c r="AJ566" s="1"/>
    </row>
    <row r="567" ht="14.25" customHeight="1" spans="1:36" x14ac:dyDescent="0.25">
      <c r="A567" s="1"/>
      <c r="B567" s="1"/>
      <c r="C567" s="1"/>
      <c r="D567" s="1"/>
      <c r="E567" s="1"/>
      <c r="F567" s="1"/>
      <c r="G567" s="1"/>
      <c r="H567" s="1"/>
      <c r="I567" s="1"/>
      <c r="J567" s="1"/>
      <c r="K567" s="1"/>
      <c r="L567" s="1"/>
      <c r="M567" s="1"/>
      <c r="N567" s="1"/>
      <c r="O567" s="1"/>
      <c r="Q567" s="1"/>
      <c r="R567" s="2"/>
      <c r="S567" s="1"/>
      <c r="T567" s="1"/>
      <c r="V567" s="1"/>
      <c r="W567" s="1"/>
      <c r="AJ567" s="1"/>
    </row>
    <row r="568" ht="14.25" customHeight="1" spans="1:36" x14ac:dyDescent="0.25">
      <c r="A568" s="1"/>
      <c r="B568" s="1"/>
      <c r="C568" s="1"/>
      <c r="D568" s="1"/>
      <c r="E568" s="1"/>
      <c r="F568" s="1"/>
      <c r="G568" s="1"/>
      <c r="H568" s="1"/>
      <c r="I568" s="1"/>
      <c r="J568" s="1"/>
      <c r="K568" s="1"/>
      <c r="L568" s="1"/>
      <c r="M568" s="1"/>
      <c r="N568" s="1"/>
      <c r="O568" s="1"/>
      <c r="Q568" s="1"/>
      <c r="R568" s="2"/>
      <c r="S568" s="1"/>
      <c r="T568" s="1"/>
      <c r="V568" s="1"/>
      <c r="W568" s="1"/>
      <c r="AJ568" s="1"/>
    </row>
    <row r="569" ht="14.25" customHeight="1" spans="1:36" x14ac:dyDescent="0.25">
      <c r="A569" s="1"/>
      <c r="B569" s="1"/>
      <c r="C569" s="1"/>
      <c r="D569" s="1"/>
      <c r="E569" s="1"/>
      <c r="F569" s="1"/>
      <c r="G569" s="1"/>
      <c r="H569" s="1"/>
      <c r="I569" s="1"/>
      <c r="J569" s="1"/>
      <c r="K569" s="1"/>
      <c r="L569" s="1"/>
      <c r="M569" s="1"/>
      <c r="N569" s="1"/>
      <c r="O569" s="1"/>
      <c r="Q569" s="1"/>
      <c r="R569" s="2"/>
      <c r="S569" s="1"/>
      <c r="T569" s="1"/>
      <c r="V569" s="1"/>
      <c r="W569" s="1"/>
      <c r="AJ569" s="1"/>
    </row>
    <row r="570" ht="14.25" customHeight="1" spans="1:36" x14ac:dyDescent="0.25">
      <c r="A570" s="1"/>
      <c r="B570" s="1"/>
      <c r="C570" s="1"/>
      <c r="D570" s="1"/>
      <c r="E570" s="1"/>
      <c r="F570" s="1"/>
      <c r="G570" s="1"/>
      <c r="H570" s="1"/>
      <c r="I570" s="1"/>
      <c r="J570" s="1"/>
      <c r="K570" s="1"/>
      <c r="L570" s="1"/>
      <c r="M570" s="1"/>
      <c r="N570" s="1"/>
      <c r="O570" s="1"/>
      <c r="Q570" s="1"/>
      <c r="R570" s="2"/>
      <c r="S570" s="1"/>
      <c r="T570" s="1"/>
      <c r="V570" s="1"/>
      <c r="W570" s="1"/>
      <c r="AJ570" s="1"/>
    </row>
    <row r="571" ht="14.25" customHeight="1" spans="1:36" x14ac:dyDescent="0.25">
      <c r="A571" s="1"/>
      <c r="B571" s="1"/>
      <c r="C571" s="1"/>
      <c r="D571" s="1"/>
      <c r="E571" s="1"/>
      <c r="F571" s="1"/>
      <c r="G571" s="1"/>
      <c r="H571" s="1"/>
      <c r="I571" s="1"/>
      <c r="J571" s="1"/>
      <c r="K571" s="1"/>
      <c r="L571" s="1"/>
      <c r="M571" s="1"/>
      <c r="N571" s="1"/>
      <c r="O571" s="1"/>
      <c r="Q571" s="1"/>
      <c r="R571" s="2"/>
      <c r="S571" s="1"/>
      <c r="T571" s="1"/>
      <c r="V571" s="1"/>
      <c r="W571" s="1"/>
      <c r="AJ571" s="1"/>
    </row>
    <row r="572" ht="14.25" customHeight="1" spans="1:36" x14ac:dyDescent="0.25">
      <c r="A572" s="1"/>
      <c r="B572" s="1"/>
      <c r="C572" s="1"/>
      <c r="D572" s="1"/>
      <c r="E572" s="1"/>
      <c r="F572" s="1"/>
      <c r="G572" s="1"/>
      <c r="H572" s="1"/>
      <c r="I572" s="1"/>
      <c r="J572" s="1"/>
      <c r="K572" s="1"/>
      <c r="L572" s="1"/>
      <c r="M572" s="1"/>
      <c r="N572" s="1"/>
      <c r="O572" s="1"/>
      <c r="Q572" s="1"/>
      <c r="R572" s="2"/>
      <c r="S572" s="1"/>
      <c r="T572" s="1"/>
      <c r="V572" s="1"/>
      <c r="W572" s="1"/>
      <c r="AJ572" s="1"/>
    </row>
    <row r="573" ht="14.25" customHeight="1" spans="1:36" x14ac:dyDescent="0.25">
      <c r="A573" s="1"/>
      <c r="B573" s="1"/>
      <c r="C573" s="1"/>
      <c r="D573" s="1"/>
      <c r="E573" s="1"/>
      <c r="F573" s="1"/>
      <c r="G573" s="1"/>
      <c r="H573" s="1"/>
      <c r="I573" s="1"/>
      <c r="J573" s="1"/>
      <c r="K573" s="1"/>
      <c r="L573" s="1"/>
      <c r="M573" s="1"/>
      <c r="N573" s="1"/>
      <c r="O573" s="1"/>
      <c r="Q573" s="1"/>
      <c r="R573" s="2"/>
      <c r="S573" s="1"/>
      <c r="T573" s="1"/>
      <c r="V573" s="1"/>
      <c r="W573" s="1"/>
      <c r="AJ573" s="1"/>
    </row>
    <row r="574" ht="14.25" customHeight="1" spans="1:36" x14ac:dyDescent="0.25">
      <c r="A574" s="1"/>
      <c r="B574" s="1"/>
      <c r="C574" s="1"/>
      <c r="D574" s="1"/>
      <c r="E574" s="1"/>
      <c r="F574" s="1"/>
      <c r="G574" s="1"/>
      <c r="H574" s="1"/>
      <c r="I574" s="1"/>
      <c r="J574" s="1"/>
      <c r="K574" s="1"/>
      <c r="L574" s="1"/>
      <c r="M574" s="1"/>
      <c r="N574" s="1"/>
      <c r="O574" s="1"/>
      <c r="Q574" s="1"/>
      <c r="R574" s="2"/>
      <c r="S574" s="1"/>
      <c r="T574" s="1"/>
      <c r="V574" s="1"/>
      <c r="W574" s="1"/>
      <c r="AJ574" s="1"/>
    </row>
    <row r="575" ht="14.25" customHeight="1" spans="1:36" x14ac:dyDescent="0.25">
      <c r="A575" s="1"/>
      <c r="B575" s="1"/>
      <c r="C575" s="1"/>
      <c r="D575" s="1"/>
      <c r="E575" s="1"/>
      <c r="F575" s="1"/>
      <c r="G575" s="1"/>
      <c r="H575" s="1"/>
      <c r="I575" s="1"/>
      <c r="J575" s="1"/>
      <c r="K575" s="1"/>
      <c r="L575" s="1"/>
      <c r="M575" s="1"/>
      <c r="N575" s="1"/>
      <c r="O575" s="1"/>
      <c r="Q575" s="1"/>
      <c r="R575" s="2"/>
      <c r="S575" s="1"/>
      <c r="T575" s="1"/>
      <c r="V575" s="1"/>
      <c r="W575" s="1"/>
      <c r="AJ575" s="1"/>
    </row>
    <row r="576" ht="14.25" customHeight="1" spans="1:36" x14ac:dyDescent="0.25">
      <c r="A576" s="1"/>
      <c r="B576" s="1"/>
      <c r="C576" s="1"/>
      <c r="D576" s="1"/>
      <c r="E576" s="1"/>
      <c r="F576" s="1"/>
      <c r="G576" s="1"/>
      <c r="H576" s="1"/>
      <c r="I576" s="1"/>
      <c r="J576" s="1"/>
      <c r="K576" s="1"/>
      <c r="L576" s="1"/>
      <c r="M576" s="1"/>
      <c r="N576" s="1"/>
      <c r="O576" s="1"/>
      <c r="Q576" s="1"/>
      <c r="R576" s="2"/>
      <c r="S576" s="1"/>
      <c r="T576" s="1"/>
      <c r="V576" s="1"/>
      <c r="W576" s="1"/>
      <c r="AJ576" s="1"/>
    </row>
    <row r="577" ht="14.25" customHeight="1" spans="1:36" x14ac:dyDescent="0.25">
      <c r="A577" s="1"/>
      <c r="B577" s="1"/>
      <c r="C577" s="1"/>
      <c r="D577" s="1"/>
      <c r="E577" s="1"/>
      <c r="F577" s="1"/>
      <c r="G577" s="1"/>
      <c r="H577" s="1"/>
      <c r="I577" s="1"/>
      <c r="J577" s="1"/>
      <c r="K577" s="1"/>
      <c r="L577" s="1"/>
      <c r="M577" s="1"/>
      <c r="N577" s="1"/>
      <c r="O577" s="1"/>
      <c r="Q577" s="1"/>
      <c r="R577" s="2"/>
      <c r="S577" s="1"/>
      <c r="T577" s="1"/>
      <c r="V577" s="1"/>
      <c r="W577" s="1"/>
      <c r="AJ577" s="1"/>
    </row>
    <row r="578" ht="14.25" customHeight="1" spans="1:36" x14ac:dyDescent="0.25">
      <c r="A578" s="1"/>
      <c r="B578" s="1"/>
      <c r="C578" s="1"/>
      <c r="D578" s="1"/>
      <c r="E578" s="1"/>
      <c r="F578" s="1"/>
      <c r="G578" s="1"/>
      <c r="H578" s="1"/>
      <c r="I578" s="1"/>
      <c r="J578" s="1"/>
      <c r="K578" s="1"/>
      <c r="L578" s="1"/>
      <c r="M578" s="1"/>
      <c r="N578" s="1"/>
      <c r="O578" s="1"/>
      <c r="Q578" s="1"/>
      <c r="R578" s="2"/>
      <c r="S578" s="1"/>
      <c r="T578" s="1"/>
      <c r="V578" s="1"/>
      <c r="W578" s="1"/>
      <c r="AJ578" s="1"/>
    </row>
    <row r="579" ht="14.25" customHeight="1" spans="1:36" x14ac:dyDescent="0.25">
      <c r="A579" s="1"/>
      <c r="B579" s="1"/>
      <c r="C579" s="1"/>
      <c r="D579" s="1"/>
      <c r="E579" s="1"/>
      <c r="F579" s="1"/>
      <c r="G579" s="1"/>
      <c r="H579" s="1"/>
      <c r="I579" s="1"/>
      <c r="J579" s="1"/>
      <c r="K579" s="1"/>
      <c r="L579" s="1"/>
      <c r="M579" s="1"/>
      <c r="N579" s="1"/>
      <c r="O579" s="1"/>
      <c r="Q579" s="1"/>
      <c r="R579" s="2"/>
      <c r="S579" s="1"/>
      <c r="T579" s="1"/>
      <c r="V579" s="1"/>
      <c r="W579" s="1"/>
      <c r="AJ579" s="1"/>
    </row>
    <row r="580" ht="14.25" customHeight="1" spans="1:36" x14ac:dyDescent="0.25">
      <c r="A580" s="1"/>
      <c r="B580" s="1"/>
      <c r="C580" s="1"/>
      <c r="D580" s="1"/>
      <c r="E580" s="1"/>
      <c r="F580" s="1"/>
      <c r="G580" s="1"/>
      <c r="H580" s="1"/>
      <c r="I580" s="1"/>
      <c r="J580" s="1"/>
      <c r="K580" s="1"/>
      <c r="L580" s="1"/>
      <c r="M580" s="1"/>
      <c r="N580" s="1"/>
      <c r="O580" s="1"/>
      <c r="Q580" s="1"/>
      <c r="R580" s="2"/>
      <c r="S580" s="1"/>
      <c r="T580" s="1"/>
      <c r="V580" s="1"/>
      <c r="W580" s="1"/>
      <c r="AJ580" s="1"/>
    </row>
    <row r="581" ht="14.25" customHeight="1" spans="1:36" x14ac:dyDescent="0.25">
      <c r="A581" s="1"/>
      <c r="B581" s="1"/>
      <c r="C581" s="1"/>
      <c r="D581" s="1"/>
      <c r="E581" s="1"/>
      <c r="F581" s="1"/>
      <c r="G581" s="1"/>
      <c r="H581" s="1"/>
      <c r="I581" s="1"/>
      <c r="J581" s="1"/>
      <c r="K581" s="1"/>
      <c r="L581" s="1"/>
      <c r="M581" s="1"/>
      <c r="N581" s="1"/>
      <c r="O581" s="1"/>
      <c r="Q581" s="1"/>
      <c r="R581" s="2"/>
      <c r="S581" s="1"/>
      <c r="T581" s="1"/>
      <c r="V581" s="1"/>
      <c r="W581" s="1"/>
      <c r="AJ581" s="1"/>
    </row>
    <row r="582" ht="14.25" customHeight="1" spans="1:36" x14ac:dyDescent="0.25">
      <c r="A582" s="1"/>
      <c r="B582" s="1"/>
      <c r="C582" s="1"/>
      <c r="D582" s="1"/>
      <c r="E582" s="1"/>
      <c r="F582" s="1"/>
      <c r="G582" s="1"/>
      <c r="H582" s="1"/>
      <c r="I582" s="1"/>
      <c r="J582" s="1"/>
      <c r="K582" s="1"/>
      <c r="L582" s="1"/>
      <c r="M582" s="1"/>
      <c r="N582" s="1"/>
      <c r="O582" s="1"/>
      <c r="Q582" s="1"/>
      <c r="R582" s="2"/>
      <c r="S582" s="1"/>
      <c r="T582" s="1"/>
      <c r="V582" s="1"/>
      <c r="W582" s="1"/>
      <c r="AJ582" s="1"/>
    </row>
    <row r="583" ht="14.25" customHeight="1" spans="1:36" x14ac:dyDescent="0.25">
      <c r="A583" s="1"/>
      <c r="B583" s="1"/>
      <c r="C583" s="1"/>
      <c r="D583" s="1"/>
      <c r="E583" s="1"/>
      <c r="F583" s="1"/>
      <c r="G583" s="1"/>
      <c r="H583" s="1"/>
      <c r="I583" s="1"/>
      <c r="J583" s="1"/>
      <c r="K583" s="1"/>
      <c r="L583" s="1"/>
      <c r="M583" s="1"/>
      <c r="N583" s="1"/>
      <c r="O583" s="1"/>
      <c r="Q583" s="1"/>
      <c r="R583" s="2"/>
      <c r="S583" s="1"/>
      <c r="T583" s="1"/>
      <c r="V583" s="1"/>
      <c r="W583" s="1"/>
      <c r="AJ583" s="1"/>
    </row>
    <row r="584" ht="14.25" customHeight="1" spans="1:36" x14ac:dyDescent="0.25">
      <c r="A584" s="1"/>
      <c r="B584" s="1"/>
      <c r="C584" s="1"/>
      <c r="D584" s="1"/>
      <c r="E584" s="1"/>
      <c r="F584" s="1"/>
      <c r="G584" s="1"/>
      <c r="H584" s="1"/>
      <c r="I584" s="1"/>
      <c r="J584" s="1"/>
      <c r="K584" s="1"/>
      <c r="L584" s="1"/>
      <c r="M584" s="1"/>
      <c r="N584" s="1"/>
      <c r="O584" s="1"/>
      <c r="Q584" s="1"/>
      <c r="R584" s="2"/>
      <c r="S584" s="1"/>
      <c r="T584" s="1"/>
      <c r="V584" s="1"/>
      <c r="W584" s="1"/>
      <c r="AJ584" s="1"/>
    </row>
    <row r="585" ht="14.25" customHeight="1" spans="1:36" x14ac:dyDescent="0.25">
      <c r="A585" s="1"/>
      <c r="B585" s="1"/>
      <c r="C585" s="1"/>
      <c r="D585" s="1"/>
      <c r="E585" s="1"/>
      <c r="F585" s="1"/>
      <c r="G585" s="1"/>
      <c r="H585" s="1"/>
      <c r="I585" s="1"/>
      <c r="J585" s="1"/>
      <c r="K585" s="1"/>
      <c r="L585" s="1"/>
      <c r="M585" s="1"/>
      <c r="N585" s="1"/>
      <c r="O585" s="1"/>
      <c r="Q585" s="1"/>
      <c r="R585" s="2"/>
      <c r="S585" s="1"/>
      <c r="T585" s="1"/>
      <c r="V585" s="1"/>
      <c r="W585" s="1"/>
      <c r="AJ585" s="1"/>
    </row>
    <row r="586" ht="14.25" customHeight="1" spans="1:36" x14ac:dyDescent="0.25">
      <c r="A586" s="1"/>
      <c r="B586" s="1"/>
      <c r="C586" s="1"/>
      <c r="D586" s="1"/>
      <c r="E586" s="1"/>
      <c r="F586" s="1"/>
      <c r="G586" s="1"/>
      <c r="H586" s="1"/>
      <c r="I586" s="1"/>
      <c r="J586" s="1"/>
      <c r="K586" s="1"/>
      <c r="L586" s="1"/>
      <c r="M586" s="1"/>
      <c r="N586" s="1"/>
      <c r="O586" s="1"/>
      <c r="Q586" s="1"/>
      <c r="R586" s="2"/>
      <c r="S586" s="1"/>
      <c r="T586" s="1"/>
      <c r="V586" s="1"/>
      <c r="W586" s="1"/>
      <c r="AJ586" s="1"/>
    </row>
    <row r="587" ht="14.25" customHeight="1" spans="1:36" x14ac:dyDescent="0.25">
      <c r="A587" s="1"/>
      <c r="B587" s="1"/>
      <c r="C587" s="1"/>
      <c r="D587" s="1"/>
      <c r="E587" s="1"/>
      <c r="F587" s="1"/>
      <c r="G587" s="1"/>
      <c r="H587" s="1"/>
      <c r="I587" s="1"/>
      <c r="J587" s="1"/>
      <c r="K587" s="1"/>
      <c r="L587" s="1"/>
      <c r="M587" s="1"/>
      <c r="N587" s="1"/>
      <c r="O587" s="1"/>
      <c r="Q587" s="1"/>
      <c r="R587" s="2"/>
      <c r="S587" s="1"/>
      <c r="T587" s="1"/>
      <c r="V587" s="1"/>
      <c r="W587" s="1"/>
      <c r="AJ587" s="1"/>
    </row>
    <row r="588" ht="14.25" customHeight="1" spans="1:36" x14ac:dyDescent="0.25">
      <c r="A588" s="1"/>
      <c r="B588" s="1"/>
      <c r="C588" s="1"/>
      <c r="D588" s="1"/>
      <c r="E588" s="1"/>
      <c r="F588" s="1"/>
      <c r="G588" s="1"/>
      <c r="H588" s="1"/>
      <c r="I588" s="1"/>
      <c r="J588" s="1"/>
      <c r="K588" s="1"/>
      <c r="L588" s="1"/>
      <c r="M588" s="1"/>
      <c r="N588" s="1"/>
      <c r="O588" s="1"/>
      <c r="Q588" s="1"/>
      <c r="R588" s="2"/>
      <c r="S588" s="1"/>
      <c r="T588" s="1"/>
      <c r="V588" s="1"/>
      <c r="W588" s="1"/>
      <c r="AJ588" s="1"/>
    </row>
    <row r="589" ht="14.25" customHeight="1" spans="1:36" x14ac:dyDescent="0.25">
      <c r="A589" s="1"/>
      <c r="B589" s="1"/>
      <c r="C589" s="1"/>
      <c r="D589" s="1"/>
      <c r="E589" s="1"/>
      <c r="F589" s="1"/>
      <c r="G589" s="1"/>
      <c r="H589" s="1"/>
      <c r="I589" s="1"/>
      <c r="J589" s="1"/>
      <c r="K589" s="1"/>
      <c r="L589" s="1"/>
      <c r="M589" s="1"/>
      <c r="N589" s="1"/>
      <c r="O589" s="1"/>
      <c r="Q589" s="1"/>
      <c r="R589" s="2"/>
      <c r="S589" s="1"/>
      <c r="T589" s="1"/>
      <c r="V589" s="1"/>
      <c r="W589" s="1"/>
      <c r="AJ589" s="1"/>
    </row>
    <row r="590" ht="14.25" customHeight="1" spans="1:36" x14ac:dyDescent="0.25">
      <c r="A590" s="1"/>
      <c r="B590" s="1"/>
      <c r="C590" s="1"/>
      <c r="D590" s="1"/>
      <c r="E590" s="1"/>
      <c r="F590" s="1"/>
      <c r="G590" s="1"/>
      <c r="H590" s="1"/>
      <c r="I590" s="1"/>
      <c r="J590" s="1"/>
      <c r="K590" s="1"/>
      <c r="L590" s="1"/>
      <c r="M590" s="1"/>
      <c r="N590" s="1"/>
      <c r="O590" s="1"/>
      <c r="Q590" s="1"/>
      <c r="R590" s="2"/>
      <c r="S590" s="1"/>
      <c r="T590" s="1"/>
      <c r="V590" s="1"/>
      <c r="W590" s="1"/>
      <c r="AJ590" s="1"/>
    </row>
    <row r="591" ht="14.25" customHeight="1" spans="1:36" x14ac:dyDescent="0.25">
      <c r="A591" s="1"/>
      <c r="B591" s="1"/>
      <c r="C591" s="1"/>
      <c r="D591" s="1"/>
      <c r="E591" s="1"/>
      <c r="F591" s="1"/>
      <c r="G591" s="1"/>
      <c r="H591" s="1"/>
      <c r="I591" s="1"/>
      <c r="J591" s="1"/>
      <c r="K591" s="1"/>
      <c r="L591" s="1"/>
      <c r="M591" s="1"/>
      <c r="N591" s="1"/>
      <c r="O591" s="1"/>
      <c r="Q591" s="1"/>
      <c r="R591" s="2"/>
      <c r="S591" s="1"/>
      <c r="T591" s="1"/>
      <c r="V591" s="1"/>
      <c r="W591" s="1"/>
      <c r="AJ591" s="1"/>
    </row>
    <row r="592" ht="14.25" customHeight="1" spans="1:36" x14ac:dyDescent="0.25">
      <c r="A592" s="1"/>
      <c r="B592" s="1"/>
      <c r="C592" s="1"/>
      <c r="D592" s="1"/>
      <c r="E592" s="1"/>
      <c r="F592" s="1"/>
      <c r="G592" s="1"/>
      <c r="H592" s="1"/>
      <c r="I592" s="1"/>
      <c r="J592" s="1"/>
      <c r="K592" s="1"/>
      <c r="L592" s="1"/>
      <c r="M592" s="1"/>
      <c r="N592" s="1"/>
      <c r="O592" s="1"/>
      <c r="Q592" s="1"/>
      <c r="R592" s="2"/>
      <c r="S592" s="1"/>
      <c r="T592" s="1"/>
      <c r="V592" s="1"/>
      <c r="W592" s="1"/>
      <c r="AJ592" s="1"/>
    </row>
    <row r="593" ht="14.25" customHeight="1" spans="1:36" x14ac:dyDescent="0.25">
      <c r="A593" s="1"/>
      <c r="B593" s="1"/>
      <c r="C593" s="1"/>
      <c r="D593" s="1"/>
      <c r="E593" s="1"/>
      <c r="F593" s="1"/>
      <c r="G593" s="1"/>
      <c r="H593" s="1"/>
      <c r="I593" s="1"/>
      <c r="J593" s="1"/>
      <c r="K593" s="1"/>
      <c r="L593" s="1"/>
      <c r="M593" s="1"/>
      <c r="N593" s="1"/>
      <c r="O593" s="1"/>
      <c r="Q593" s="1"/>
      <c r="R593" s="2"/>
      <c r="S593" s="1"/>
      <c r="T593" s="1"/>
      <c r="V593" s="1"/>
      <c r="W593" s="1"/>
      <c r="AJ593" s="1"/>
    </row>
    <row r="594" ht="14.25" customHeight="1" spans="1:36" x14ac:dyDescent="0.25">
      <c r="A594" s="1"/>
      <c r="B594" s="1"/>
      <c r="C594" s="1"/>
      <c r="D594" s="1"/>
      <c r="E594" s="1"/>
      <c r="F594" s="1"/>
      <c r="G594" s="1"/>
      <c r="H594" s="1"/>
      <c r="I594" s="1"/>
      <c r="J594" s="1"/>
      <c r="K594" s="1"/>
      <c r="L594" s="1"/>
      <c r="M594" s="1"/>
      <c r="N594" s="1"/>
      <c r="O594" s="1"/>
      <c r="Q594" s="1"/>
      <c r="R594" s="2"/>
      <c r="S594" s="1"/>
      <c r="T594" s="1"/>
      <c r="V594" s="1"/>
      <c r="W594" s="1"/>
      <c r="AJ594" s="1"/>
    </row>
    <row r="595" ht="14.25" customHeight="1" spans="1:36" x14ac:dyDescent="0.25">
      <c r="A595" s="1"/>
      <c r="B595" s="1"/>
      <c r="C595" s="1"/>
      <c r="D595" s="1"/>
      <c r="E595" s="1"/>
      <c r="F595" s="1"/>
      <c r="G595" s="1"/>
      <c r="H595" s="1"/>
      <c r="I595" s="1"/>
      <c r="J595" s="1"/>
      <c r="K595" s="1"/>
      <c r="L595" s="1"/>
      <c r="M595" s="1"/>
      <c r="N595" s="1"/>
      <c r="O595" s="1"/>
      <c r="Q595" s="1"/>
      <c r="R595" s="2"/>
      <c r="S595" s="1"/>
      <c r="T595" s="1"/>
      <c r="V595" s="1"/>
      <c r="W595" s="1"/>
      <c r="AJ595" s="1"/>
    </row>
    <row r="596" ht="14.25" customHeight="1" spans="1:36" x14ac:dyDescent="0.25">
      <c r="A596" s="1"/>
      <c r="B596" s="1"/>
      <c r="C596" s="1"/>
      <c r="D596" s="1"/>
      <c r="E596" s="1"/>
      <c r="F596" s="1"/>
      <c r="G596" s="1"/>
      <c r="H596" s="1"/>
      <c r="I596" s="1"/>
      <c r="J596" s="1"/>
      <c r="K596" s="1"/>
      <c r="L596" s="1"/>
      <c r="M596" s="1"/>
      <c r="N596" s="1"/>
      <c r="O596" s="1"/>
      <c r="Q596" s="1"/>
      <c r="R596" s="2"/>
      <c r="S596" s="1"/>
      <c r="T596" s="1"/>
      <c r="V596" s="1"/>
      <c r="W596" s="1"/>
      <c r="AJ596" s="1"/>
    </row>
    <row r="597" ht="14.25" customHeight="1" spans="1:36" x14ac:dyDescent="0.25">
      <c r="A597" s="1"/>
      <c r="B597" s="1"/>
      <c r="C597" s="1"/>
      <c r="D597" s="1"/>
      <c r="E597" s="1"/>
      <c r="F597" s="1"/>
      <c r="G597" s="1"/>
      <c r="H597" s="1"/>
      <c r="I597" s="1"/>
      <c r="J597" s="1"/>
      <c r="K597" s="1"/>
      <c r="L597" s="1"/>
      <c r="M597" s="1"/>
      <c r="N597" s="1"/>
      <c r="O597" s="1"/>
      <c r="Q597" s="1"/>
      <c r="R597" s="2"/>
      <c r="S597" s="1"/>
      <c r="T597" s="1"/>
      <c r="V597" s="1"/>
      <c r="W597" s="1"/>
      <c r="AJ597" s="1"/>
    </row>
    <row r="598" ht="14.25" customHeight="1" spans="1:36" x14ac:dyDescent="0.25">
      <c r="A598" s="1"/>
      <c r="B598" s="1"/>
      <c r="C598" s="1"/>
      <c r="D598" s="1"/>
      <c r="E598" s="1"/>
      <c r="F598" s="1"/>
      <c r="G598" s="1"/>
      <c r="H598" s="1"/>
      <c r="I598" s="1"/>
      <c r="J598" s="1"/>
      <c r="K598" s="1"/>
      <c r="L598" s="1"/>
      <c r="M598" s="1"/>
      <c r="N598" s="1"/>
      <c r="O598" s="1"/>
      <c r="Q598" s="1"/>
      <c r="R598" s="2"/>
      <c r="S598" s="1"/>
      <c r="T598" s="1"/>
      <c r="V598" s="1"/>
      <c r="W598" s="1"/>
      <c r="AJ598" s="1"/>
    </row>
    <row r="599" ht="14.25" customHeight="1" spans="1:36" x14ac:dyDescent="0.25">
      <c r="A599" s="1"/>
      <c r="B599" s="1"/>
      <c r="C599" s="1"/>
      <c r="D599" s="1"/>
      <c r="E599" s="1"/>
      <c r="F599" s="1"/>
      <c r="G599" s="1"/>
      <c r="H599" s="1"/>
      <c r="I599" s="1"/>
      <c r="J599" s="1"/>
      <c r="K599" s="1"/>
      <c r="L599" s="1"/>
      <c r="M599" s="1"/>
      <c r="N599" s="1"/>
      <c r="O599" s="1"/>
      <c r="Q599" s="1"/>
      <c r="R599" s="2"/>
      <c r="S599" s="1"/>
      <c r="T599" s="1"/>
      <c r="V599" s="1"/>
      <c r="W599" s="1"/>
      <c r="AJ599" s="1"/>
    </row>
    <row r="600" ht="14.25" customHeight="1" spans="1:36" x14ac:dyDescent="0.25">
      <c r="A600" s="1"/>
      <c r="B600" s="1"/>
      <c r="C600" s="1"/>
      <c r="D600" s="1"/>
      <c r="E600" s="1"/>
      <c r="F600" s="1"/>
      <c r="G600" s="1"/>
      <c r="H600" s="1"/>
      <c r="I600" s="1"/>
      <c r="J600" s="1"/>
      <c r="K600" s="1"/>
      <c r="L600" s="1"/>
      <c r="M600" s="1"/>
      <c r="N600" s="1"/>
      <c r="O600" s="1"/>
      <c r="Q600" s="1"/>
      <c r="R600" s="2"/>
      <c r="S600" s="1"/>
      <c r="T600" s="1"/>
      <c r="V600" s="1"/>
      <c r="W600" s="1"/>
      <c r="AJ600" s="1"/>
    </row>
    <row r="601" ht="14.25" customHeight="1" spans="1:36" x14ac:dyDescent="0.25">
      <c r="A601" s="1"/>
      <c r="B601" s="1"/>
      <c r="C601" s="1"/>
      <c r="D601" s="1"/>
      <c r="E601" s="1"/>
      <c r="F601" s="1"/>
      <c r="G601" s="1"/>
      <c r="H601" s="1"/>
      <c r="I601" s="1"/>
      <c r="J601" s="1"/>
      <c r="K601" s="1"/>
      <c r="L601" s="1"/>
      <c r="M601" s="1"/>
      <c r="N601" s="1"/>
      <c r="O601" s="1"/>
      <c r="Q601" s="1"/>
      <c r="R601" s="2"/>
      <c r="S601" s="1"/>
      <c r="T601" s="1"/>
      <c r="V601" s="1"/>
      <c r="W601" s="1"/>
      <c r="AJ601" s="1"/>
    </row>
    <row r="602" ht="14.25" customHeight="1" spans="1:36" x14ac:dyDescent="0.25">
      <c r="A602" s="1"/>
      <c r="B602" s="1"/>
      <c r="C602" s="1"/>
      <c r="D602" s="1"/>
      <c r="E602" s="1"/>
      <c r="F602" s="1"/>
      <c r="G602" s="1"/>
      <c r="H602" s="1"/>
      <c r="I602" s="1"/>
      <c r="J602" s="1"/>
      <c r="K602" s="1"/>
      <c r="L602" s="1"/>
      <c r="M602" s="1"/>
      <c r="N602" s="1"/>
      <c r="O602" s="1"/>
      <c r="Q602" s="1"/>
      <c r="R602" s="2"/>
      <c r="S602" s="1"/>
      <c r="T602" s="1"/>
      <c r="V602" s="1"/>
      <c r="W602" s="1"/>
      <c r="AJ602" s="1"/>
    </row>
    <row r="603" ht="14.25" customHeight="1" spans="1:36" x14ac:dyDescent="0.25">
      <c r="A603" s="1"/>
      <c r="B603" s="1"/>
      <c r="C603" s="1"/>
      <c r="D603" s="1"/>
      <c r="E603" s="1"/>
      <c r="F603" s="1"/>
      <c r="G603" s="1"/>
      <c r="H603" s="1"/>
      <c r="I603" s="1"/>
      <c r="J603" s="1"/>
      <c r="K603" s="1"/>
      <c r="L603" s="1"/>
      <c r="M603" s="1"/>
      <c r="N603" s="1"/>
      <c r="O603" s="1"/>
      <c r="Q603" s="1"/>
      <c r="R603" s="2"/>
      <c r="S603" s="1"/>
      <c r="T603" s="1"/>
      <c r="V603" s="1"/>
      <c r="W603" s="1"/>
      <c r="AJ603" s="1"/>
    </row>
    <row r="604" ht="14.25" customHeight="1" spans="1:36" x14ac:dyDescent="0.25">
      <c r="A604" s="1"/>
      <c r="B604" s="1"/>
      <c r="C604" s="1"/>
      <c r="D604" s="1"/>
      <c r="E604" s="1"/>
      <c r="F604" s="1"/>
      <c r="G604" s="1"/>
      <c r="H604" s="1"/>
      <c r="I604" s="1"/>
      <c r="J604" s="1"/>
      <c r="K604" s="1"/>
      <c r="L604" s="1"/>
      <c r="M604" s="1"/>
      <c r="N604" s="1"/>
      <c r="O604" s="1"/>
      <c r="Q604" s="1"/>
      <c r="R604" s="2"/>
      <c r="S604" s="1"/>
      <c r="T604" s="1"/>
      <c r="V604" s="1"/>
      <c r="W604" s="1"/>
      <c r="AJ604" s="1"/>
    </row>
    <row r="605" ht="14.25" customHeight="1" spans="1:36" x14ac:dyDescent="0.25">
      <c r="A605" s="1"/>
      <c r="B605" s="1"/>
      <c r="C605" s="1"/>
      <c r="D605" s="1"/>
      <c r="E605" s="1"/>
      <c r="F605" s="1"/>
      <c r="G605" s="1"/>
      <c r="H605" s="1"/>
      <c r="I605" s="1"/>
      <c r="J605" s="1"/>
      <c r="K605" s="1"/>
      <c r="L605" s="1"/>
      <c r="M605" s="1"/>
      <c r="N605" s="1"/>
      <c r="O605" s="1"/>
      <c r="Q605" s="1"/>
      <c r="R605" s="2"/>
      <c r="S605" s="1"/>
      <c r="T605" s="1"/>
      <c r="V605" s="1"/>
      <c r="W605" s="1"/>
      <c r="AJ605" s="1"/>
    </row>
    <row r="606" ht="14.25" customHeight="1" spans="1:36" x14ac:dyDescent="0.25">
      <c r="A606" s="1"/>
      <c r="B606" s="1"/>
      <c r="C606" s="1"/>
      <c r="D606" s="1"/>
      <c r="E606" s="1"/>
      <c r="F606" s="1"/>
      <c r="G606" s="1"/>
      <c r="H606" s="1"/>
      <c r="I606" s="1"/>
      <c r="J606" s="1"/>
      <c r="K606" s="1"/>
      <c r="L606" s="1"/>
      <c r="M606" s="1"/>
      <c r="N606" s="1"/>
      <c r="O606" s="1"/>
      <c r="Q606" s="1"/>
      <c r="R606" s="2"/>
      <c r="S606" s="1"/>
      <c r="T606" s="1"/>
      <c r="V606" s="1"/>
      <c r="W606" s="1"/>
      <c r="AJ606" s="1"/>
    </row>
    <row r="607" ht="14.25" customHeight="1" spans="1:36" x14ac:dyDescent="0.25">
      <c r="A607" s="1"/>
      <c r="B607" s="1"/>
      <c r="C607" s="1"/>
      <c r="D607" s="1"/>
      <c r="E607" s="1"/>
      <c r="F607" s="1"/>
      <c r="G607" s="1"/>
      <c r="H607" s="1"/>
      <c r="I607" s="1"/>
      <c r="J607" s="1"/>
      <c r="K607" s="1"/>
      <c r="L607" s="1"/>
      <c r="M607" s="1"/>
      <c r="N607" s="1"/>
      <c r="O607" s="1"/>
      <c r="Q607" s="1"/>
      <c r="R607" s="2"/>
      <c r="S607" s="1"/>
      <c r="T607" s="1"/>
      <c r="V607" s="1"/>
      <c r="W607" s="1"/>
      <c r="AJ607" s="1"/>
    </row>
    <row r="608" ht="14.25" customHeight="1" spans="1:36" x14ac:dyDescent="0.25">
      <c r="A608" s="1"/>
      <c r="B608" s="1"/>
      <c r="C608" s="1"/>
      <c r="D608" s="1"/>
      <c r="E608" s="1"/>
      <c r="F608" s="1"/>
      <c r="G608" s="1"/>
      <c r="H608" s="1"/>
      <c r="I608" s="1"/>
      <c r="J608" s="1"/>
      <c r="K608" s="1"/>
      <c r="L608" s="1"/>
      <c r="M608" s="1"/>
      <c r="N608" s="1"/>
      <c r="O608" s="1"/>
      <c r="Q608" s="1"/>
      <c r="R608" s="2"/>
      <c r="S608" s="1"/>
      <c r="T608" s="1"/>
      <c r="V608" s="1"/>
      <c r="W608" s="1"/>
      <c r="AJ608" s="1"/>
    </row>
    <row r="609" ht="14.25" customHeight="1" spans="1:36" x14ac:dyDescent="0.25">
      <c r="A609" s="1"/>
      <c r="B609" s="1"/>
      <c r="C609" s="1"/>
      <c r="D609" s="1"/>
      <c r="E609" s="1"/>
      <c r="F609" s="1"/>
      <c r="G609" s="1"/>
      <c r="H609" s="1"/>
      <c r="I609" s="1"/>
      <c r="J609" s="1"/>
      <c r="K609" s="1"/>
      <c r="L609" s="1"/>
      <c r="M609" s="1"/>
      <c r="N609" s="1"/>
      <c r="O609" s="1"/>
      <c r="Q609" s="1"/>
      <c r="R609" s="2"/>
      <c r="S609" s="1"/>
      <c r="T609" s="1"/>
      <c r="V609" s="1"/>
      <c r="W609" s="1"/>
      <c r="AJ609" s="1"/>
    </row>
    <row r="610" ht="14.25" customHeight="1" spans="1:36" x14ac:dyDescent="0.25">
      <c r="A610" s="1"/>
      <c r="B610" s="1"/>
      <c r="C610" s="1"/>
      <c r="D610" s="1"/>
      <c r="E610" s="1"/>
      <c r="F610" s="1"/>
      <c r="G610" s="1"/>
      <c r="H610" s="1"/>
      <c r="I610" s="1"/>
      <c r="J610" s="1"/>
      <c r="K610" s="1"/>
      <c r="L610" s="1"/>
      <c r="M610" s="1"/>
      <c r="N610" s="1"/>
      <c r="O610" s="1"/>
      <c r="Q610" s="1"/>
      <c r="R610" s="2"/>
      <c r="S610" s="1"/>
      <c r="T610" s="1"/>
      <c r="V610" s="1"/>
      <c r="W610" s="1"/>
      <c r="AJ610" s="1"/>
    </row>
    <row r="611" ht="14.25" customHeight="1" spans="1:36" x14ac:dyDescent="0.25">
      <c r="A611" s="1"/>
      <c r="B611" s="1"/>
      <c r="C611" s="1"/>
      <c r="D611" s="1"/>
      <c r="E611" s="1"/>
      <c r="F611" s="1"/>
      <c r="G611" s="1"/>
      <c r="H611" s="1"/>
      <c r="I611" s="1"/>
      <c r="J611" s="1"/>
      <c r="K611" s="1"/>
      <c r="L611" s="1"/>
      <c r="M611" s="1"/>
      <c r="N611" s="1"/>
      <c r="O611" s="1"/>
      <c r="Q611" s="1"/>
      <c r="R611" s="2"/>
      <c r="S611" s="1"/>
      <c r="T611" s="1"/>
      <c r="V611" s="1"/>
      <c r="W611" s="1"/>
      <c r="AJ611" s="1"/>
    </row>
    <row r="612" ht="14.25" customHeight="1" spans="1:36" x14ac:dyDescent="0.25">
      <c r="A612" s="1"/>
      <c r="B612" s="1"/>
      <c r="C612" s="1"/>
      <c r="D612" s="1"/>
      <c r="E612" s="1"/>
      <c r="F612" s="1"/>
      <c r="G612" s="1"/>
      <c r="H612" s="1"/>
      <c r="I612" s="1"/>
      <c r="J612" s="1"/>
      <c r="K612" s="1"/>
      <c r="L612" s="1"/>
      <c r="M612" s="1"/>
      <c r="N612" s="1"/>
      <c r="O612" s="1"/>
      <c r="Q612" s="1"/>
      <c r="R612" s="2"/>
      <c r="S612" s="1"/>
      <c r="T612" s="1"/>
      <c r="V612" s="1"/>
      <c r="W612" s="1"/>
      <c r="AJ612" s="1"/>
    </row>
    <row r="613" ht="14.25" customHeight="1" spans="1:36" x14ac:dyDescent="0.25">
      <c r="A613" s="1"/>
      <c r="B613" s="1"/>
      <c r="C613" s="1"/>
      <c r="D613" s="1"/>
      <c r="E613" s="1"/>
      <c r="F613" s="1"/>
      <c r="G613" s="1"/>
      <c r="H613" s="1"/>
      <c r="I613" s="1"/>
      <c r="J613" s="1"/>
      <c r="K613" s="1"/>
      <c r="L613" s="1"/>
      <c r="M613" s="1"/>
      <c r="N613" s="1"/>
      <c r="O613" s="1"/>
      <c r="Q613" s="1"/>
      <c r="R613" s="2"/>
      <c r="S613" s="1"/>
      <c r="T613" s="1"/>
      <c r="V613" s="1"/>
      <c r="W613" s="1"/>
      <c r="AJ613" s="1"/>
    </row>
    <row r="614" ht="14.25" customHeight="1" spans="1:36" x14ac:dyDescent="0.25">
      <c r="A614" s="1"/>
      <c r="B614" s="1"/>
      <c r="C614" s="1"/>
      <c r="D614" s="1"/>
      <c r="E614" s="1"/>
      <c r="F614" s="1"/>
      <c r="G614" s="1"/>
      <c r="H614" s="1"/>
      <c r="I614" s="1"/>
      <c r="J614" s="1"/>
      <c r="K614" s="1"/>
      <c r="L614" s="1"/>
      <c r="M614" s="1"/>
      <c r="N614" s="1"/>
      <c r="O614" s="1"/>
      <c r="Q614" s="1"/>
      <c r="R614" s="2"/>
      <c r="S614" s="1"/>
      <c r="T614" s="1"/>
      <c r="V614" s="1"/>
      <c r="W614" s="1"/>
      <c r="AJ614" s="1"/>
    </row>
    <row r="615" ht="14.25" customHeight="1" spans="1:36" x14ac:dyDescent="0.25">
      <c r="A615" s="1"/>
      <c r="B615" s="1"/>
      <c r="C615" s="1"/>
      <c r="D615" s="1"/>
      <c r="E615" s="1"/>
      <c r="F615" s="1"/>
      <c r="G615" s="1"/>
      <c r="H615" s="1"/>
      <c r="I615" s="1"/>
      <c r="J615" s="1"/>
      <c r="K615" s="1"/>
      <c r="L615" s="1"/>
      <c r="M615" s="1"/>
      <c r="N615" s="1"/>
      <c r="O615" s="1"/>
      <c r="Q615" s="1"/>
      <c r="R615" s="2"/>
      <c r="S615" s="1"/>
      <c r="T615" s="1"/>
      <c r="V615" s="1"/>
      <c r="W615" s="1"/>
      <c r="AJ615" s="1"/>
    </row>
    <row r="616" ht="14.25" customHeight="1" spans="1:36" x14ac:dyDescent="0.25">
      <c r="A616" s="1"/>
      <c r="B616" s="1"/>
      <c r="C616" s="1"/>
      <c r="D616" s="1"/>
      <c r="E616" s="1"/>
      <c r="F616" s="1"/>
      <c r="G616" s="1"/>
      <c r="H616" s="1"/>
      <c r="I616" s="1"/>
      <c r="J616" s="1"/>
      <c r="K616" s="1"/>
      <c r="L616" s="1"/>
      <c r="M616" s="1"/>
      <c r="N616" s="1"/>
      <c r="O616" s="1"/>
      <c r="Q616" s="1"/>
      <c r="R616" s="2"/>
      <c r="S616" s="1"/>
      <c r="T616" s="1"/>
      <c r="V616" s="1"/>
      <c r="W616" s="1"/>
      <c r="AJ616" s="1"/>
    </row>
    <row r="617" ht="14.25" customHeight="1" spans="1:36" x14ac:dyDescent="0.25">
      <c r="A617" s="1"/>
      <c r="B617" s="1"/>
      <c r="C617" s="1"/>
      <c r="D617" s="1"/>
      <c r="E617" s="1"/>
      <c r="F617" s="1"/>
      <c r="G617" s="1"/>
      <c r="H617" s="1"/>
      <c r="I617" s="1"/>
      <c r="J617" s="1"/>
      <c r="K617" s="1"/>
      <c r="L617" s="1"/>
      <c r="M617" s="1"/>
      <c r="N617" s="1"/>
      <c r="O617" s="1"/>
      <c r="Q617" s="1"/>
      <c r="R617" s="2"/>
      <c r="S617" s="1"/>
      <c r="T617" s="1"/>
      <c r="V617" s="1"/>
      <c r="W617" s="1"/>
      <c r="AJ617" s="1"/>
    </row>
    <row r="618" ht="14.25" customHeight="1" spans="1:36" x14ac:dyDescent="0.25">
      <c r="A618" s="1"/>
      <c r="B618" s="1"/>
      <c r="C618" s="1"/>
      <c r="D618" s="1"/>
      <c r="E618" s="1"/>
      <c r="F618" s="1"/>
      <c r="G618" s="1"/>
      <c r="H618" s="1"/>
      <c r="I618" s="1"/>
      <c r="J618" s="1"/>
      <c r="K618" s="1"/>
      <c r="L618" s="1"/>
      <c r="M618" s="1"/>
      <c r="N618" s="1"/>
      <c r="O618" s="1"/>
      <c r="Q618" s="1"/>
      <c r="R618" s="2"/>
      <c r="S618" s="1"/>
      <c r="T618" s="1"/>
      <c r="V618" s="1"/>
      <c r="W618" s="1"/>
      <c r="AJ618" s="1"/>
    </row>
    <row r="619" ht="14.25" customHeight="1" spans="1:36" x14ac:dyDescent="0.25">
      <c r="A619" s="1"/>
      <c r="B619" s="1"/>
      <c r="C619" s="1"/>
      <c r="D619" s="1"/>
      <c r="E619" s="1"/>
      <c r="F619" s="1"/>
      <c r="G619" s="1"/>
      <c r="H619" s="1"/>
      <c r="I619" s="1"/>
      <c r="J619" s="1"/>
      <c r="K619" s="1"/>
      <c r="L619" s="1"/>
      <c r="M619" s="1"/>
      <c r="N619" s="1"/>
      <c r="O619" s="1"/>
      <c r="Q619" s="1"/>
      <c r="R619" s="2"/>
      <c r="S619" s="1"/>
      <c r="T619" s="1"/>
      <c r="V619" s="1"/>
      <c r="W619" s="1"/>
      <c r="AJ619" s="1"/>
    </row>
    <row r="620" ht="14.25" customHeight="1" spans="1:36" x14ac:dyDescent="0.25">
      <c r="A620" s="1"/>
      <c r="B620" s="1"/>
      <c r="C620" s="1"/>
      <c r="D620" s="1"/>
      <c r="E620" s="1"/>
      <c r="F620" s="1"/>
      <c r="G620" s="1"/>
      <c r="H620" s="1"/>
      <c r="I620" s="1"/>
      <c r="J620" s="1"/>
      <c r="K620" s="1"/>
      <c r="L620" s="1"/>
      <c r="M620" s="1"/>
      <c r="N620" s="1"/>
      <c r="O620" s="1"/>
      <c r="Q620" s="1"/>
      <c r="R620" s="2"/>
      <c r="S620" s="1"/>
      <c r="T620" s="1"/>
      <c r="V620" s="1"/>
      <c r="W620" s="1"/>
      <c r="AJ620" s="1"/>
    </row>
    <row r="621" ht="14.25" customHeight="1" spans="1:36" x14ac:dyDescent="0.25">
      <c r="A621" s="1"/>
      <c r="B621" s="1"/>
      <c r="C621" s="1"/>
      <c r="D621" s="1"/>
      <c r="E621" s="1"/>
      <c r="F621" s="1"/>
      <c r="G621" s="1"/>
      <c r="H621" s="1"/>
      <c r="I621" s="1"/>
      <c r="J621" s="1"/>
      <c r="K621" s="1"/>
      <c r="L621" s="1"/>
      <c r="M621" s="1"/>
      <c r="N621" s="1"/>
      <c r="O621" s="1"/>
      <c r="Q621" s="1"/>
      <c r="R621" s="2"/>
      <c r="S621" s="1"/>
      <c r="T621" s="1"/>
      <c r="V621" s="1"/>
      <c r="W621" s="1"/>
      <c r="AJ621" s="1"/>
    </row>
    <row r="622" ht="14.25" customHeight="1" spans="1:36" x14ac:dyDescent="0.25">
      <c r="A622" s="1"/>
      <c r="B622" s="1"/>
      <c r="C622" s="1"/>
      <c r="D622" s="1"/>
      <c r="E622" s="1"/>
      <c r="F622" s="1"/>
      <c r="G622" s="1"/>
      <c r="H622" s="1"/>
      <c r="I622" s="1"/>
      <c r="J622" s="1"/>
      <c r="K622" s="1"/>
      <c r="L622" s="1"/>
      <c r="M622" s="1"/>
      <c r="N622" s="1"/>
      <c r="O622" s="1"/>
      <c r="Q622" s="1"/>
      <c r="R622" s="2"/>
      <c r="S622" s="1"/>
      <c r="T622" s="1"/>
      <c r="V622" s="1"/>
      <c r="W622" s="1"/>
      <c r="AJ622" s="1"/>
    </row>
    <row r="623" ht="14.25" customHeight="1" spans="1:36" x14ac:dyDescent="0.25">
      <c r="A623" s="1"/>
      <c r="B623" s="1"/>
      <c r="C623" s="1"/>
      <c r="D623" s="1"/>
      <c r="E623" s="1"/>
      <c r="F623" s="1"/>
      <c r="G623" s="1"/>
      <c r="H623" s="1"/>
      <c r="I623" s="1"/>
      <c r="J623" s="1"/>
      <c r="K623" s="1"/>
      <c r="L623" s="1"/>
      <c r="M623" s="1"/>
      <c r="N623" s="1"/>
      <c r="O623" s="1"/>
      <c r="Q623" s="1"/>
      <c r="R623" s="2"/>
      <c r="S623" s="1"/>
      <c r="T623" s="1"/>
      <c r="V623" s="1"/>
      <c r="W623" s="1"/>
      <c r="AJ623" s="1"/>
    </row>
    <row r="624" ht="14.25" customHeight="1" spans="1:36" x14ac:dyDescent="0.25">
      <c r="A624" s="1"/>
      <c r="B624" s="1"/>
      <c r="C624" s="1"/>
      <c r="D624" s="1"/>
      <c r="E624" s="1"/>
      <c r="F624" s="1"/>
      <c r="G624" s="1"/>
      <c r="H624" s="1"/>
      <c r="I624" s="1"/>
      <c r="J624" s="1"/>
      <c r="K624" s="1"/>
      <c r="L624" s="1"/>
      <c r="M624" s="1"/>
      <c r="N624" s="1"/>
      <c r="O624" s="1"/>
      <c r="Q624" s="1"/>
      <c r="R624" s="2"/>
      <c r="S624" s="1"/>
      <c r="T624" s="1"/>
      <c r="V624" s="1"/>
      <c r="W624" s="1"/>
      <c r="AJ624" s="1"/>
    </row>
    <row r="625" ht="14.25" customHeight="1" spans="1:36" x14ac:dyDescent="0.25">
      <c r="A625" s="1"/>
      <c r="B625" s="1"/>
      <c r="C625" s="1"/>
      <c r="D625" s="1"/>
      <c r="E625" s="1"/>
      <c r="F625" s="1"/>
      <c r="G625" s="1"/>
      <c r="H625" s="1"/>
      <c r="I625" s="1"/>
      <c r="J625" s="1"/>
      <c r="K625" s="1"/>
      <c r="L625" s="1"/>
      <c r="M625" s="1"/>
      <c r="N625" s="1"/>
      <c r="O625" s="1"/>
      <c r="Q625" s="1"/>
      <c r="R625" s="2"/>
      <c r="S625" s="1"/>
      <c r="T625" s="1"/>
      <c r="V625" s="1"/>
      <c r="W625" s="1"/>
      <c r="AJ625" s="1"/>
    </row>
    <row r="626" ht="14.25" customHeight="1" spans="1:36" x14ac:dyDescent="0.25">
      <c r="A626" s="1"/>
      <c r="B626" s="1"/>
      <c r="C626" s="1"/>
      <c r="D626" s="1"/>
      <c r="E626" s="1"/>
      <c r="F626" s="1"/>
      <c r="G626" s="1"/>
      <c r="H626" s="1"/>
      <c r="I626" s="1"/>
      <c r="J626" s="1"/>
      <c r="K626" s="1"/>
      <c r="L626" s="1"/>
      <c r="M626" s="1"/>
      <c r="N626" s="1"/>
      <c r="O626" s="1"/>
      <c r="Q626" s="1"/>
      <c r="R626" s="2"/>
      <c r="S626" s="1"/>
      <c r="T626" s="1"/>
      <c r="V626" s="1"/>
      <c r="W626" s="1"/>
      <c r="AJ626" s="1"/>
    </row>
    <row r="627" ht="14.25" customHeight="1" spans="1:36" x14ac:dyDescent="0.25">
      <c r="A627" s="1"/>
      <c r="B627" s="1"/>
      <c r="C627" s="1"/>
      <c r="D627" s="1"/>
      <c r="E627" s="1"/>
      <c r="F627" s="1"/>
      <c r="G627" s="1"/>
      <c r="H627" s="1"/>
      <c r="I627" s="1"/>
      <c r="J627" s="1"/>
      <c r="K627" s="1"/>
      <c r="L627" s="1"/>
      <c r="M627" s="1"/>
      <c r="N627" s="1"/>
      <c r="O627" s="1"/>
      <c r="Q627" s="1"/>
      <c r="R627" s="2"/>
      <c r="S627" s="1"/>
      <c r="T627" s="1"/>
      <c r="V627" s="1"/>
      <c r="W627" s="1"/>
      <c r="AJ627" s="1"/>
    </row>
    <row r="628" ht="14.25" customHeight="1" spans="1:36" x14ac:dyDescent="0.25">
      <c r="A628" s="1"/>
      <c r="B628" s="1"/>
      <c r="C628" s="1"/>
      <c r="D628" s="1"/>
      <c r="E628" s="1"/>
      <c r="F628" s="1"/>
      <c r="G628" s="1"/>
      <c r="H628" s="1"/>
      <c r="I628" s="1"/>
      <c r="J628" s="1"/>
      <c r="K628" s="1"/>
      <c r="L628" s="1"/>
      <c r="M628" s="1"/>
      <c r="N628" s="1"/>
      <c r="O628" s="1"/>
      <c r="Q628" s="1"/>
      <c r="R628" s="2"/>
      <c r="S628" s="1"/>
      <c r="T628" s="1"/>
      <c r="V628" s="1"/>
      <c r="W628" s="1"/>
      <c r="AJ628" s="1"/>
    </row>
    <row r="629" ht="14.25" customHeight="1" spans="1:36" x14ac:dyDescent="0.25">
      <c r="A629" s="1"/>
      <c r="B629" s="1"/>
      <c r="C629" s="1"/>
      <c r="D629" s="1"/>
      <c r="E629" s="1"/>
      <c r="F629" s="1"/>
      <c r="G629" s="1"/>
      <c r="H629" s="1"/>
      <c r="I629" s="1"/>
      <c r="J629" s="1"/>
      <c r="K629" s="1"/>
      <c r="L629" s="1"/>
      <c r="M629" s="1"/>
      <c r="N629" s="1"/>
      <c r="O629" s="1"/>
      <c r="Q629" s="1"/>
      <c r="R629" s="2"/>
      <c r="S629" s="1"/>
      <c r="T629" s="1"/>
      <c r="V629" s="1"/>
      <c r="W629" s="1"/>
      <c r="AJ629" s="1"/>
    </row>
    <row r="630" ht="14.25" customHeight="1" spans="1:36" x14ac:dyDescent="0.25">
      <c r="A630" s="1"/>
      <c r="B630" s="1"/>
      <c r="C630" s="1"/>
      <c r="D630" s="1"/>
      <c r="E630" s="1"/>
      <c r="F630" s="1"/>
      <c r="G630" s="1"/>
      <c r="H630" s="1"/>
      <c r="I630" s="1"/>
      <c r="J630" s="1"/>
      <c r="K630" s="1"/>
      <c r="L630" s="1"/>
      <c r="M630" s="1"/>
      <c r="N630" s="1"/>
      <c r="O630" s="1"/>
      <c r="Q630" s="1"/>
      <c r="R630" s="2"/>
      <c r="S630" s="1"/>
      <c r="T630" s="1"/>
      <c r="V630" s="1"/>
      <c r="W630" s="1"/>
      <c r="AJ630" s="1"/>
    </row>
    <row r="631" ht="14.25" customHeight="1" spans="1:36" x14ac:dyDescent="0.25">
      <c r="A631" s="1"/>
      <c r="B631" s="1"/>
      <c r="C631" s="1"/>
      <c r="D631" s="1"/>
      <c r="E631" s="1"/>
      <c r="F631" s="1"/>
      <c r="G631" s="1"/>
      <c r="H631" s="1"/>
      <c r="I631" s="1"/>
      <c r="J631" s="1"/>
      <c r="K631" s="1"/>
      <c r="L631" s="1"/>
      <c r="M631" s="1"/>
      <c r="N631" s="1"/>
      <c r="O631" s="1"/>
      <c r="Q631" s="1"/>
      <c r="R631" s="2"/>
      <c r="S631" s="1"/>
      <c r="T631" s="1"/>
      <c r="V631" s="1"/>
      <c r="W631" s="1"/>
      <c r="AJ631" s="1"/>
    </row>
    <row r="632" ht="14.25" customHeight="1" spans="1:36" x14ac:dyDescent="0.25">
      <c r="A632" s="1"/>
      <c r="B632" s="1"/>
      <c r="C632" s="1"/>
      <c r="D632" s="1"/>
      <c r="E632" s="1"/>
      <c r="F632" s="1"/>
      <c r="G632" s="1"/>
      <c r="H632" s="1"/>
      <c r="I632" s="1"/>
      <c r="J632" s="1"/>
      <c r="K632" s="1"/>
      <c r="L632" s="1"/>
      <c r="M632" s="1"/>
      <c r="N632" s="1"/>
      <c r="O632" s="1"/>
      <c r="Q632" s="1"/>
      <c r="R632" s="2"/>
      <c r="S632" s="1"/>
      <c r="T632" s="1"/>
      <c r="V632" s="1"/>
      <c r="W632" s="1"/>
      <c r="AJ632" s="1"/>
    </row>
    <row r="633" ht="14.25" customHeight="1" spans="1:36" x14ac:dyDescent="0.25">
      <c r="A633" s="1"/>
      <c r="B633" s="1"/>
      <c r="C633" s="1"/>
      <c r="D633" s="1"/>
      <c r="E633" s="1"/>
      <c r="F633" s="1"/>
      <c r="G633" s="1"/>
      <c r="H633" s="1"/>
      <c r="I633" s="1"/>
      <c r="J633" s="1"/>
      <c r="K633" s="1"/>
      <c r="L633" s="1"/>
      <c r="M633" s="1"/>
      <c r="N633" s="1"/>
      <c r="O633" s="1"/>
      <c r="Q633" s="1"/>
      <c r="R633" s="2"/>
      <c r="S633" s="1"/>
      <c r="T633" s="1"/>
      <c r="V633" s="1"/>
      <c r="W633" s="1"/>
      <c r="AJ633" s="1"/>
    </row>
    <row r="634" ht="14.25" customHeight="1" spans="1:36" x14ac:dyDescent="0.25">
      <c r="A634" s="1"/>
      <c r="B634" s="1"/>
      <c r="C634" s="1"/>
      <c r="D634" s="1"/>
      <c r="E634" s="1"/>
      <c r="F634" s="1"/>
      <c r="G634" s="1"/>
      <c r="H634" s="1"/>
      <c r="I634" s="1"/>
      <c r="J634" s="1"/>
      <c r="K634" s="1"/>
      <c r="L634" s="1"/>
      <c r="M634" s="1"/>
      <c r="N634" s="1"/>
      <c r="O634" s="1"/>
      <c r="Q634" s="1"/>
      <c r="R634" s="2"/>
      <c r="S634" s="1"/>
      <c r="T634" s="1"/>
      <c r="V634" s="1"/>
      <c r="W634" s="1"/>
      <c r="AJ634" s="1"/>
    </row>
    <row r="635" ht="14.25" customHeight="1" spans="1:36" x14ac:dyDescent="0.25">
      <c r="A635" s="1"/>
      <c r="B635" s="1"/>
      <c r="C635" s="1"/>
      <c r="D635" s="1"/>
      <c r="E635" s="1"/>
      <c r="F635" s="1"/>
      <c r="G635" s="1"/>
      <c r="H635" s="1"/>
      <c r="I635" s="1"/>
      <c r="J635" s="1"/>
      <c r="K635" s="1"/>
      <c r="L635" s="1"/>
      <c r="M635" s="1"/>
      <c r="N635" s="1"/>
      <c r="O635" s="1"/>
      <c r="Q635" s="1"/>
      <c r="R635" s="2"/>
      <c r="S635" s="1"/>
      <c r="T635" s="1"/>
      <c r="V635" s="1"/>
      <c r="W635" s="1"/>
      <c r="AJ635" s="1"/>
    </row>
    <row r="636" ht="14.25" customHeight="1" spans="1:36" x14ac:dyDescent="0.25">
      <c r="A636" s="1"/>
      <c r="B636" s="1"/>
      <c r="C636" s="1"/>
      <c r="D636" s="1"/>
      <c r="E636" s="1"/>
      <c r="F636" s="1"/>
      <c r="G636" s="1"/>
      <c r="H636" s="1"/>
      <c r="I636" s="1"/>
      <c r="J636" s="1"/>
      <c r="K636" s="1"/>
      <c r="L636" s="1"/>
      <c r="M636" s="1"/>
      <c r="N636" s="1"/>
      <c r="O636" s="1"/>
      <c r="Q636" s="1"/>
      <c r="R636" s="2"/>
      <c r="S636" s="1"/>
      <c r="T636" s="1"/>
      <c r="V636" s="1"/>
      <c r="W636" s="1"/>
      <c r="AJ636" s="1"/>
    </row>
    <row r="637" ht="14.25" customHeight="1" spans="1:36" x14ac:dyDescent="0.25">
      <c r="A637" s="1"/>
      <c r="B637" s="1"/>
      <c r="C637" s="1"/>
      <c r="D637" s="1"/>
      <c r="E637" s="1"/>
      <c r="F637" s="1"/>
      <c r="G637" s="1"/>
      <c r="H637" s="1"/>
      <c r="I637" s="1"/>
      <c r="J637" s="1"/>
      <c r="K637" s="1"/>
      <c r="L637" s="1"/>
      <c r="M637" s="1"/>
      <c r="N637" s="1"/>
      <c r="O637" s="1"/>
      <c r="Q637" s="1"/>
      <c r="R637" s="2"/>
      <c r="S637" s="1"/>
      <c r="T637" s="1"/>
      <c r="V637" s="1"/>
      <c r="W637" s="1"/>
      <c r="AJ637" s="1"/>
    </row>
    <row r="638" ht="14.25" customHeight="1" spans="1:36" x14ac:dyDescent="0.25">
      <c r="A638" s="1"/>
      <c r="B638" s="1"/>
      <c r="C638" s="1"/>
      <c r="D638" s="1"/>
      <c r="E638" s="1"/>
      <c r="F638" s="1"/>
      <c r="G638" s="1"/>
      <c r="H638" s="1"/>
      <c r="I638" s="1"/>
      <c r="J638" s="1"/>
      <c r="K638" s="1"/>
      <c r="L638" s="1"/>
      <c r="M638" s="1"/>
      <c r="N638" s="1"/>
      <c r="O638" s="1"/>
      <c r="Q638" s="1"/>
      <c r="R638" s="2"/>
      <c r="S638" s="1"/>
      <c r="T638" s="1"/>
      <c r="V638" s="1"/>
      <c r="W638" s="1"/>
      <c r="AJ638" s="1"/>
    </row>
    <row r="639" ht="14.25" customHeight="1" spans="1:36" x14ac:dyDescent="0.25">
      <c r="A639" s="1"/>
      <c r="B639" s="1"/>
      <c r="C639" s="1"/>
      <c r="D639" s="1"/>
      <c r="E639" s="1"/>
      <c r="F639" s="1"/>
      <c r="G639" s="1"/>
      <c r="H639" s="1"/>
      <c r="I639" s="1"/>
      <c r="J639" s="1"/>
      <c r="K639" s="1"/>
      <c r="L639" s="1"/>
      <c r="M639" s="1"/>
      <c r="N639" s="1"/>
      <c r="O639" s="1"/>
      <c r="Q639" s="1"/>
      <c r="R639" s="2"/>
      <c r="S639" s="1"/>
      <c r="T639" s="1"/>
      <c r="V639" s="1"/>
      <c r="W639" s="1"/>
      <c r="AJ639" s="1"/>
    </row>
    <row r="640" ht="14.25" customHeight="1" spans="1:36" x14ac:dyDescent="0.25">
      <c r="A640" s="1"/>
      <c r="B640" s="1"/>
      <c r="C640" s="1"/>
      <c r="D640" s="1"/>
      <c r="E640" s="1"/>
      <c r="F640" s="1"/>
      <c r="G640" s="1"/>
      <c r="H640" s="1"/>
      <c r="I640" s="1"/>
      <c r="J640" s="1"/>
      <c r="K640" s="1"/>
      <c r="L640" s="1"/>
      <c r="M640" s="1"/>
      <c r="N640" s="1"/>
      <c r="O640" s="1"/>
      <c r="Q640" s="1"/>
      <c r="R640" s="2"/>
      <c r="S640" s="1"/>
      <c r="T640" s="1"/>
      <c r="V640" s="1"/>
      <c r="W640" s="1"/>
      <c r="AJ640" s="1"/>
    </row>
    <row r="641" ht="14.25" customHeight="1" spans="1:36" x14ac:dyDescent="0.25">
      <c r="A641" s="1"/>
      <c r="B641" s="1"/>
      <c r="C641" s="1"/>
      <c r="D641" s="1"/>
      <c r="E641" s="1"/>
      <c r="F641" s="1"/>
      <c r="G641" s="1"/>
      <c r="H641" s="1"/>
      <c r="I641" s="1"/>
      <c r="J641" s="1"/>
      <c r="K641" s="1"/>
      <c r="L641" s="1"/>
      <c r="M641" s="1"/>
      <c r="N641" s="1"/>
      <c r="O641" s="1"/>
      <c r="Q641" s="1"/>
      <c r="R641" s="2"/>
      <c r="S641" s="1"/>
      <c r="T641" s="1"/>
      <c r="V641" s="1"/>
      <c r="W641" s="1"/>
      <c r="AJ641" s="1"/>
    </row>
    <row r="642" ht="14.25" customHeight="1" spans="1:36" x14ac:dyDescent="0.25">
      <c r="A642" s="1"/>
      <c r="B642" s="1"/>
      <c r="C642" s="1"/>
      <c r="D642" s="1"/>
      <c r="E642" s="1"/>
      <c r="F642" s="1"/>
      <c r="G642" s="1"/>
      <c r="H642" s="1"/>
      <c r="I642" s="1"/>
      <c r="J642" s="1"/>
      <c r="K642" s="1"/>
      <c r="L642" s="1"/>
      <c r="M642" s="1"/>
      <c r="N642" s="1"/>
      <c r="O642" s="1"/>
      <c r="Q642" s="1"/>
      <c r="R642" s="2"/>
      <c r="S642" s="1"/>
      <c r="T642" s="1"/>
      <c r="V642" s="1"/>
      <c r="W642" s="1"/>
      <c r="AJ642" s="1"/>
    </row>
    <row r="643" ht="14.25" customHeight="1" spans="1:36" x14ac:dyDescent="0.25">
      <c r="A643" s="1"/>
      <c r="B643" s="1"/>
      <c r="C643" s="1"/>
      <c r="D643" s="1"/>
      <c r="E643" s="1"/>
      <c r="F643" s="1"/>
      <c r="G643" s="1"/>
      <c r="H643" s="1"/>
      <c r="I643" s="1"/>
      <c r="J643" s="1"/>
      <c r="K643" s="1"/>
      <c r="L643" s="1"/>
      <c r="M643" s="1"/>
      <c r="N643" s="1"/>
      <c r="O643" s="1"/>
      <c r="Q643" s="1"/>
      <c r="R643" s="2"/>
      <c r="S643" s="1"/>
      <c r="T643" s="1"/>
      <c r="V643" s="1"/>
      <c r="W643" s="1"/>
      <c r="AJ643" s="1"/>
    </row>
    <row r="644" ht="14.25" customHeight="1" spans="1:36" x14ac:dyDescent="0.25">
      <c r="A644" s="1"/>
      <c r="B644" s="1"/>
      <c r="C644" s="1"/>
      <c r="D644" s="1"/>
      <c r="E644" s="1"/>
      <c r="F644" s="1"/>
      <c r="G644" s="1"/>
      <c r="H644" s="1"/>
      <c r="I644" s="1"/>
      <c r="J644" s="1"/>
      <c r="K644" s="1"/>
      <c r="L644" s="1"/>
      <c r="M644" s="1"/>
      <c r="N644" s="1"/>
      <c r="O644" s="1"/>
      <c r="Q644" s="1"/>
      <c r="R644" s="2"/>
      <c r="S644" s="1"/>
      <c r="T644" s="1"/>
      <c r="V644" s="1"/>
      <c r="W644" s="1"/>
      <c r="AJ644" s="1"/>
    </row>
    <row r="645" ht="14.25" customHeight="1" spans="1:36" x14ac:dyDescent="0.25">
      <c r="A645" s="1"/>
      <c r="B645" s="1"/>
      <c r="C645" s="1"/>
      <c r="D645" s="1"/>
      <c r="E645" s="1"/>
      <c r="F645" s="1"/>
      <c r="G645" s="1"/>
      <c r="H645" s="1"/>
      <c r="I645" s="1"/>
      <c r="J645" s="1"/>
      <c r="K645" s="1"/>
      <c r="L645" s="1"/>
      <c r="M645" s="1"/>
      <c r="N645" s="1"/>
      <c r="O645" s="1"/>
      <c r="Q645" s="1"/>
      <c r="R645" s="2"/>
      <c r="S645" s="1"/>
      <c r="T645" s="1"/>
      <c r="V645" s="1"/>
      <c r="W645" s="1"/>
      <c r="AJ645" s="1"/>
    </row>
    <row r="646" ht="14.25" customHeight="1" spans="1:36" x14ac:dyDescent="0.25">
      <c r="A646" s="1"/>
      <c r="B646" s="1"/>
      <c r="C646" s="1"/>
      <c r="D646" s="1"/>
      <c r="E646" s="1"/>
      <c r="F646" s="1"/>
      <c r="G646" s="1"/>
      <c r="H646" s="1"/>
      <c r="I646" s="1"/>
      <c r="J646" s="1"/>
      <c r="K646" s="1"/>
      <c r="L646" s="1"/>
      <c r="M646" s="1"/>
      <c r="N646" s="1"/>
      <c r="O646" s="1"/>
      <c r="Q646" s="1"/>
      <c r="R646" s="2"/>
      <c r="S646" s="1"/>
      <c r="T646" s="1"/>
      <c r="V646" s="1"/>
      <c r="W646" s="1"/>
      <c r="AJ646" s="1"/>
    </row>
    <row r="647" ht="14.25" customHeight="1" spans="1:36" x14ac:dyDescent="0.25">
      <c r="A647" s="1"/>
      <c r="B647" s="1"/>
      <c r="C647" s="1"/>
      <c r="D647" s="1"/>
      <c r="E647" s="1"/>
      <c r="F647" s="1"/>
      <c r="G647" s="1"/>
      <c r="H647" s="1"/>
      <c r="I647" s="1"/>
      <c r="J647" s="1"/>
      <c r="K647" s="1"/>
      <c r="L647" s="1"/>
      <c r="M647" s="1"/>
      <c r="N647" s="1"/>
      <c r="O647" s="1"/>
      <c r="Q647" s="1"/>
      <c r="R647" s="2"/>
      <c r="S647" s="1"/>
      <c r="T647" s="1"/>
      <c r="V647" s="1"/>
      <c r="W647" s="1"/>
      <c r="AJ647" s="1"/>
    </row>
    <row r="648" ht="14.25" customHeight="1" spans="1:36" x14ac:dyDescent="0.25">
      <c r="A648" s="1"/>
      <c r="B648" s="1"/>
      <c r="C648" s="1"/>
      <c r="D648" s="1"/>
      <c r="E648" s="1"/>
      <c r="F648" s="1"/>
      <c r="G648" s="1"/>
      <c r="H648" s="1"/>
      <c r="I648" s="1"/>
      <c r="J648" s="1"/>
      <c r="K648" s="1"/>
      <c r="L648" s="1"/>
      <c r="M648" s="1"/>
      <c r="N648" s="1"/>
      <c r="O648" s="1"/>
      <c r="Q648" s="1"/>
      <c r="R648" s="2"/>
      <c r="S648" s="1"/>
      <c r="T648" s="1"/>
      <c r="V648" s="1"/>
      <c r="W648" s="1"/>
      <c r="AJ648" s="1"/>
    </row>
    <row r="649" ht="14.25" customHeight="1" spans="1:36" x14ac:dyDescent="0.25">
      <c r="A649" s="1"/>
      <c r="B649" s="1"/>
      <c r="C649" s="1"/>
      <c r="D649" s="1"/>
      <c r="E649" s="1"/>
      <c r="F649" s="1"/>
      <c r="G649" s="1"/>
      <c r="H649" s="1"/>
      <c r="I649" s="1"/>
      <c r="J649" s="1"/>
      <c r="K649" s="1"/>
      <c r="L649" s="1"/>
      <c r="M649" s="1"/>
      <c r="N649" s="1"/>
      <c r="O649" s="1"/>
      <c r="Q649" s="1"/>
      <c r="R649" s="2"/>
      <c r="S649" s="1"/>
      <c r="T649" s="1"/>
      <c r="V649" s="1"/>
      <c r="W649" s="1"/>
      <c r="AJ649" s="1"/>
    </row>
    <row r="650" ht="14.25" customHeight="1" spans="1:36" x14ac:dyDescent="0.25">
      <c r="A650" s="1"/>
      <c r="B650" s="1"/>
      <c r="C650" s="1"/>
      <c r="D650" s="1"/>
      <c r="E650" s="1"/>
      <c r="F650" s="1"/>
      <c r="G650" s="1"/>
      <c r="H650" s="1"/>
      <c r="I650" s="1"/>
      <c r="J650" s="1"/>
      <c r="K650" s="1"/>
      <c r="L650" s="1"/>
      <c r="M650" s="1"/>
      <c r="N650" s="1"/>
      <c r="O650" s="1"/>
      <c r="Q650" s="1"/>
      <c r="R650" s="2"/>
      <c r="S650" s="1"/>
      <c r="T650" s="1"/>
      <c r="V650" s="1"/>
      <c r="W650" s="1"/>
      <c r="AJ650" s="1"/>
    </row>
    <row r="651" ht="14.25" customHeight="1" spans="1:36" x14ac:dyDescent="0.25">
      <c r="A651" s="1"/>
      <c r="B651" s="1"/>
      <c r="C651" s="1"/>
      <c r="D651" s="1"/>
      <c r="E651" s="1"/>
      <c r="F651" s="1"/>
      <c r="G651" s="1"/>
      <c r="H651" s="1"/>
      <c r="I651" s="1"/>
      <c r="J651" s="1"/>
      <c r="K651" s="1"/>
      <c r="L651" s="1"/>
      <c r="M651" s="1"/>
      <c r="N651" s="1"/>
      <c r="O651" s="1"/>
      <c r="Q651" s="1"/>
      <c r="R651" s="2"/>
      <c r="S651" s="1"/>
      <c r="T651" s="1"/>
      <c r="V651" s="1"/>
      <c r="W651" s="1"/>
      <c r="AJ651" s="1"/>
    </row>
    <row r="652" ht="14.25" customHeight="1" spans="1:36" x14ac:dyDescent="0.25">
      <c r="A652" s="1"/>
      <c r="B652" s="1"/>
      <c r="C652" s="1"/>
      <c r="D652" s="1"/>
      <c r="E652" s="1"/>
      <c r="F652" s="1"/>
      <c r="G652" s="1"/>
      <c r="H652" s="1"/>
      <c r="I652" s="1"/>
      <c r="J652" s="1"/>
      <c r="K652" s="1"/>
      <c r="L652" s="1"/>
      <c r="M652" s="1"/>
      <c r="N652" s="1"/>
      <c r="O652" s="1"/>
      <c r="Q652" s="1"/>
      <c r="R652" s="2"/>
      <c r="S652" s="1"/>
      <c r="T652" s="1"/>
      <c r="V652" s="1"/>
      <c r="W652" s="1"/>
      <c r="AJ652" s="1"/>
    </row>
    <row r="653" ht="14.25" customHeight="1" spans="1:36" x14ac:dyDescent="0.25">
      <c r="A653" s="1"/>
      <c r="B653" s="1"/>
      <c r="C653" s="1"/>
      <c r="D653" s="1"/>
      <c r="E653" s="1"/>
      <c r="F653" s="1"/>
      <c r="G653" s="1"/>
      <c r="H653" s="1"/>
      <c r="I653" s="1"/>
      <c r="J653" s="1"/>
      <c r="K653" s="1"/>
      <c r="L653" s="1"/>
      <c r="M653" s="1"/>
      <c r="N653" s="1"/>
      <c r="O653" s="1"/>
      <c r="Q653" s="1"/>
      <c r="R653" s="2"/>
      <c r="S653" s="1"/>
      <c r="T653" s="1"/>
      <c r="V653" s="1"/>
      <c r="W653" s="1"/>
      <c r="AJ653" s="1"/>
    </row>
    <row r="654" ht="14.25" customHeight="1" spans="1:36" x14ac:dyDescent="0.25">
      <c r="A654" s="1"/>
      <c r="B654" s="1"/>
      <c r="C654" s="1"/>
      <c r="D654" s="1"/>
      <c r="E654" s="1"/>
      <c r="F654" s="1"/>
      <c r="G654" s="1"/>
      <c r="H654" s="1"/>
      <c r="I654" s="1"/>
      <c r="J654" s="1"/>
      <c r="K654" s="1"/>
      <c r="L654" s="1"/>
      <c r="M654" s="1"/>
      <c r="N654" s="1"/>
      <c r="O654" s="1"/>
      <c r="Q654" s="1"/>
      <c r="R654" s="2"/>
      <c r="S654" s="1"/>
      <c r="T654" s="1"/>
      <c r="V654" s="1"/>
      <c r="W654" s="1"/>
      <c r="AJ654" s="1"/>
    </row>
    <row r="655" ht="14.25" customHeight="1" spans="1:36" x14ac:dyDescent="0.25">
      <c r="A655" s="1"/>
      <c r="B655" s="1"/>
      <c r="C655" s="1"/>
      <c r="D655" s="1"/>
      <c r="E655" s="1"/>
      <c r="F655" s="1"/>
      <c r="G655" s="1"/>
      <c r="H655" s="1"/>
      <c r="I655" s="1"/>
      <c r="J655" s="1"/>
      <c r="K655" s="1"/>
      <c r="L655" s="1"/>
      <c r="M655" s="1"/>
      <c r="N655" s="1"/>
      <c r="O655" s="1"/>
      <c r="Q655" s="1"/>
      <c r="R655" s="2"/>
      <c r="S655" s="1"/>
      <c r="T655" s="1"/>
      <c r="V655" s="1"/>
      <c r="W655" s="1"/>
      <c r="AJ655" s="1"/>
    </row>
    <row r="656" ht="14.25" customHeight="1" spans="1:36" x14ac:dyDescent="0.25">
      <c r="A656" s="1"/>
      <c r="B656" s="1"/>
      <c r="C656" s="1"/>
      <c r="D656" s="1"/>
      <c r="E656" s="1"/>
      <c r="F656" s="1"/>
      <c r="G656" s="1"/>
      <c r="H656" s="1"/>
      <c r="I656" s="1"/>
      <c r="J656" s="1"/>
      <c r="K656" s="1"/>
      <c r="L656" s="1"/>
      <c r="M656" s="1"/>
      <c r="N656" s="1"/>
      <c r="O656" s="1"/>
      <c r="Q656" s="1"/>
      <c r="R656" s="2"/>
      <c r="S656" s="1"/>
      <c r="T656" s="1"/>
      <c r="V656" s="1"/>
      <c r="W656" s="1"/>
      <c r="AJ656" s="1"/>
    </row>
    <row r="657" ht="14.25" customHeight="1" spans="1:36" x14ac:dyDescent="0.25">
      <c r="A657" s="1"/>
      <c r="B657" s="1"/>
      <c r="C657" s="1"/>
      <c r="D657" s="1"/>
      <c r="E657" s="1"/>
      <c r="F657" s="1"/>
      <c r="G657" s="1"/>
      <c r="H657" s="1"/>
      <c r="I657" s="1"/>
      <c r="J657" s="1"/>
      <c r="K657" s="1"/>
      <c r="L657" s="1"/>
      <c r="M657" s="1"/>
      <c r="N657" s="1"/>
      <c r="O657" s="1"/>
      <c r="Q657" s="1"/>
      <c r="R657" s="2"/>
      <c r="S657" s="1"/>
      <c r="T657" s="1"/>
      <c r="V657" s="1"/>
      <c r="W657" s="1"/>
      <c r="AJ657" s="1"/>
    </row>
    <row r="658" ht="14.25" customHeight="1" spans="1:36" x14ac:dyDescent="0.25">
      <c r="A658" s="1"/>
      <c r="B658" s="1"/>
      <c r="C658" s="1"/>
      <c r="D658" s="1"/>
      <c r="E658" s="1"/>
      <c r="F658" s="1"/>
      <c r="G658" s="1"/>
      <c r="H658" s="1"/>
      <c r="I658" s="1"/>
      <c r="J658" s="1"/>
      <c r="K658" s="1"/>
      <c r="L658" s="1"/>
      <c r="M658" s="1"/>
      <c r="N658" s="1"/>
      <c r="O658" s="1"/>
      <c r="Q658" s="1"/>
      <c r="R658" s="2"/>
      <c r="S658" s="1"/>
      <c r="T658" s="1"/>
      <c r="V658" s="1"/>
      <c r="W658" s="1"/>
      <c r="AJ658" s="1"/>
    </row>
    <row r="659" ht="14.25" customHeight="1" spans="1:36" x14ac:dyDescent="0.25">
      <c r="A659" s="1"/>
      <c r="B659" s="1"/>
      <c r="C659" s="1"/>
      <c r="D659" s="1"/>
      <c r="E659" s="1"/>
      <c r="F659" s="1"/>
      <c r="G659" s="1"/>
      <c r="H659" s="1"/>
      <c r="I659" s="1"/>
      <c r="J659" s="1"/>
      <c r="K659" s="1"/>
      <c r="L659" s="1"/>
      <c r="M659" s="1"/>
      <c r="N659" s="1"/>
      <c r="O659" s="1"/>
      <c r="Q659" s="1"/>
      <c r="R659" s="2"/>
      <c r="S659" s="1"/>
      <c r="T659" s="1"/>
      <c r="V659" s="1"/>
      <c r="W659" s="1"/>
      <c r="AJ659" s="1"/>
    </row>
    <row r="660" ht="14.25" customHeight="1" spans="1:36" x14ac:dyDescent="0.25">
      <c r="A660" s="1"/>
      <c r="B660" s="1"/>
      <c r="C660" s="1"/>
      <c r="D660" s="1"/>
      <c r="E660" s="1"/>
      <c r="F660" s="1"/>
      <c r="G660" s="1"/>
      <c r="H660" s="1"/>
      <c r="I660" s="1"/>
      <c r="J660" s="1"/>
      <c r="K660" s="1"/>
      <c r="L660" s="1"/>
      <c r="M660" s="1"/>
      <c r="N660" s="1"/>
      <c r="O660" s="1"/>
      <c r="Q660" s="1"/>
      <c r="R660" s="2"/>
      <c r="S660" s="1"/>
      <c r="T660" s="1"/>
      <c r="V660" s="1"/>
      <c r="W660" s="1"/>
      <c r="AJ660" s="1"/>
    </row>
    <row r="661" ht="14.25" customHeight="1" spans="1:36" x14ac:dyDescent="0.25">
      <c r="A661" s="1"/>
      <c r="B661" s="1"/>
      <c r="C661" s="1"/>
      <c r="D661" s="1"/>
      <c r="E661" s="1"/>
      <c r="F661" s="1"/>
      <c r="G661" s="1"/>
      <c r="H661" s="1"/>
      <c r="I661" s="1"/>
      <c r="J661" s="1"/>
      <c r="K661" s="1"/>
      <c r="L661" s="1"/>
      <c r="M661" s="1"/>
      <c r="N661" s="1"/>
      <c r="O661" s="1"/>
      <c r="Q661" s="1"/>
      <c r="R661" s="2"/>
      <c r="S661" s="1"/>
      <c r="T661" s="1"/>
      <c r="V661" s="1"/>
      <c r="W661" s="1"/>
      <c r="AJ661" s="1"/>
    </row>
    <row r="662" ht="14.25" customHeight="1" spans="1:36" x14ac:dyDescent="0.25">
      <c r="A662" s="1"/>
      <c r="B662" s="1"/>
      <c r="C662" s="1"/>
      <c r="D662" s="1"/>
      <c r="E662" s="1"/>
      <c r="F662" s="1"/>
      <c r="G662" s="1"/>
      <c r="H662" s="1"/>
      <c r="I662" s="1"/>
      <c r="J662" s="1"/>
      <c r="K662" s="1"/>
      <c r="L662" s="1"/>
      <c r="M662" s="1"/>
      <c r="N662" s="1"/>
      <c r="O662" s="1"/>
      <c r="Q662" s="1"/>
      <c r="R662" s="2"/>
      <c r="S662" s="1"/>
      <c r="T662" s="1"/>
      <c r="V662" s="1"/>
      <c r="W662" s="1"/>
      <c r="AJ662" s="1"/>
    </row>
    <row r="663" ht="14.25" customHeight="1" spans="1:36" x14ac:dyDescent="0.25">
      <c r="A663" s="1"/>
      <c r="B663" s="1"/>
      <c r="C663" s="1"/>
      <c r="D663" s="1"/>
      <c r="E663" s="1"/>
      <c r="F663" s="1"/>
      <c r="G663" s="1"/>
      <c r="H663" s="1"/>
      <c r="I663" s="1"/>
      <c r="J663" s="1"/>
      <c r="K663" s="1"/>
      <c r="L663" s="1"/>
      <c r="M663" s="1"/>
      <c r="N663" s="1"/>
      <c r="O663" s="1"/>
      <c r="Q663" s="1"/>
      <c r="R663" s="2"/>
      <c r="S663" s="1"/>
      <c r="T663" s="1"/>
      <c r="V663" s="1"/>
      <c r="W663" s="1"/>
      <c r="AJ663" s="1"/>
    </row>
    <row r="664" ht="14.25" customHeight="1" spans="1:36" x14ac:dyDescent="0.25">
      <c r="A664" s="1"/>
      <c r="B664" s="1"/>
      <c r="C664" s="1"/>
      <c r="D664" s="1"/>
      <c r="E664" s="1"/>
      <c r="F664" s="1"/>
      <c r="G664" s="1"/>
      <c r="H664" s="1"/>
      <c r="I664" s="1"/>
      <c r="J664" s="1"/>
      <c r="K664" s="1"/>
      <c r="L664" s="1"/>
      <c r="M664" s="1"/>
      <c r="N664" s="1"/>
      <c r="O664" s="1"/>
      <c r="Q664" s="1"/>
      <c r="R664" s="2"/>
      <c r="S664" s="1"/>
      <c r="T664" s="1"/>
      <c r="V664" s="1"/>
      <c r="W664" s="1"/>
      <c r="AJ664" s="1"/>
    </row>
    <row r="665" ht="14.25" customHeight="1" spans="1:36" x14ac:dyDescent="0.25">
      <c r="A665" s="1"/>
      <c r="B665" s="1"/>
      <c r="C665" s="1"/>
      <c r="D665" s="1"/>
      <c r="E665" s="1"/>
      <c r="F665" s="1"/>
      <c r="G665" s="1"/>
      <c r="H665" s="1"/>
      <c r="I665" s="1"/>
      <c r="J665" s="1"/>
      <c r="K665" s="1"/>
      <c r="L665" s="1"/>
      <c r="M665" s="1"/>
      <c r="N665" s="1"/>
      <c r="O665" s="1"/>
      <c r="Q665" s="1"/>
      <c r="R665" s="2"/>
      <c r="S665" s="1"/>
      <c r="T665" s="1"/>
      <c r="V665" s="1"/>
      <c r="W665" s="1"/>
      <c r="AJ665" s="1"/>
    </row>
    <row r="666" ht="14.25" customHeight="1" spans="1:36" x14ac:dyDescent="0.25">
      <c r="A666" s="1"/>
      <c r="B666" s="1"/>
      <c r="C666" s="1"/>
      <c r="D666" s="1"/>
      <c r="E666" s="1"/>
      <c r="F666" s="1"/>
      <c r="G666" s="1"/>
      <c r="H666" s="1"/>
      <c r="I666" s="1"/>
      <c r="J666" s="1"/>
      <c r="K666" s="1"/>
      <c r="L666" s="1"/>
      <c r="M666" s="1"/>
      <c r="N666" s="1"/>
      <c r="O666" s="1"/>
      <c r="Q666" s="1"/>
      <c r="R666" s="2"/>
      <c r="S666" s="1"/>
      <c r="T666" s="1"/>
      <c r="V666" s="1"/>
      <c r="W666" s="1"/>
      <c r="AJ666" s="1"/>
    </row>
    <row r="667" ht="14.25" customHeight="1" spans="1:36" x14ac:dyDescent="0.25">
      <c r="A667" s="1"/>
      <c r="B667" s="1"/>
      <c r="C667" s="1"/>
      <c r="D667" s="1"/>
      <c r="E667" s="1"/>
      <c r="F667" s="1"/>
      <c r="G667" s="1"/>
      <c r="H667" s="1"/>
      <c r="I667" s="1"/>
      <c r="J667" s="1"/>
      <c r="K667" s="1"/>
      <c r="L667" s="1"/>
      <c r="M667" s="1"/>
      <c r="N667" s="1"/>
      <c r="O667" s="1"/>
      <c r="Q667" s="1"/>
      <c r="R667" s="2"/>
      <c r="S667" s="1"/>
      <c r="T667" s="1"/>
      <c r="V667" s="1"/>
      <c r="W667" s="1"/>
      <c r="AJ667" s="1"/>
    </row>
    <row r="668" ht="14.25" customHeight="1" spans="1:36" x14ac:dyDescent="0.25">
      <c r="A668" s="1"/>
      <c r="B668" s="1"/>
      <c r="C668" s="1"/>
      <c r="D668" s="1"/>
      <c r="E668" s="1"/>
      <c r="F668" s="1"/>
      <c r="G668" s="1"/>
      <c r="H668" s="1"/>
      <c r="I668" s="1"/>
      <c r="J668" s="1"/>
      <c r="K668" s="1"/>
      <c r="L668" s="1"/>
      <c r="M668" s="1"/>
      <c r="N668" s="1"/>
      <c r="O668" s="1"/>
      <c r="Q668" s="1"/>
      <c r="R668" s="2"/>
      <c r="S668" s="1"/>
      <c r="T668" s="1"/>
      <c r="V668" s="1"/>
      <c r="W668" s="1"/>
      <c r="AJ668" s="1"/>
    </row>
    <row r="669" ht="14.25" customHeight="1" spans="1:36" x14ac:dyDescent="0.25">
      <c r="A669" s="1"/>
      <c r="B669" s="1"/>
      <c r="C669" s="1"/>
      <c r="D669" s="1"/>
      <c r="E669" s="1"/>
      <c r="F669" s="1"/>
      <c r="G669" s="1"/>
      <c r="H669" s="1"/>
      <c r="I669" s="1"/>
      <c r="J669" s="1"/>
      <c r="K669" s="1"/>
      <c r="L669" s="1"/>
      <c r="M669" s="1"/>
      <c r="N669" s="1"/>
      <c r="O669" s="1"/>
      <c r="Q669" s="1"/>
      <c r="R669" s="2"/>
      <c r="S669" s="1"/>
      <c r="T669" s="1"/>
      <c r="V669" s="1"/>
      <c r="W669" s="1"/>
      <c r="AJ669" s="1"/>
    </row>
    <row r="670" ht="14.25" customHeight="1" spans="1:36" x14ac:dyDescent="0.25">
      <c r="A670" s="1"/>
      <c r="B670" s="1"/>
      <c r="C670" s="1"/>
      <c r="D670" s="1"/>
      <c r="E670" s="1"/>
      <c r="F670" s="1"/>
      <c r="G670" s="1"/>
      <c r="H670" s="1"/>
      <c r="I670" s="1"/>
      <c r="J670" s="1"/>
      <c r="K670" s="1"/>
      <c r="L670" s="1"/>
      <c r="M670" s="1"/>
      <c r="N670" s="1"/>
      <c r="O670" s="1"/>
      <c r="Q670" s="1"/>
      <c r="R670" s="2"/>
      <c r="S670" s="1"/>
      <c r="T670" s="1"/>
      <c r="V670" s="1"/>
      <c r="W670" s="1"/>
      <c r="AJ670" s="1"/>
    </row>
    <row r="671" ht="14.25" customHeight="1" spans="1:36" x14ac:dyDescent="0.25">
      <c r="A671" s="1"/>
      <c r="B671" s="1"/>
      <c r="C671" s="1"/>
      <c r="D671" s="1"/>
      <c r="E671" s="1"/>
      <c r="F671" s="1"/>
      <c r="G671" s="1"/>
      <c r="H671" s="1"/>
      <c r="I671" s="1"/>
      <c r="J671" s="1"/>
      <c r="K671" s="1"/>
      <c r="L671" s="1"/>
      <c r="M671" s="1"/>
      <c r="N671" s="1"/>
      <c r="O671" s="1"/>
      <c r="Q671" s="1"/>
      <c r="R671" s="2"/>
      <c r="S671" s="1"/>
      <c r="T671" s="1"/>
      <c r="V671" s="1"/>
      <c r="W671" s="1"/>
      <c r="AJ671" s="1"/>
    </row>
    <row r="672" ht="14.25" customHeight="1" spans="1:36" x14ac:dyDescent="0.25">
      <c r="A672" s="1"/>
      <c r="B672" s="1"/>
      <c r="C672" s="1"/>
      <c r="D672" s="1"/>
      <c r="E672" s="1"/>
      <c r="F672" s="1"/>
      <c r="G672" s="1"/>
      <c r="H672" s="1"/>
      <c r="I672" s="1"/>
      <c r="J672" s="1"/>
      <c r="K672" s="1"/>
      <c r="L672" s="1"/>
      <c r="M672" s="1"/>
      <c r="N672" s="1"/>
      <c r="O672" s="1"/>
      <c r="Q672" s="1"/>
      <c r="R672" s="2"/>
      <c r="S672" s="1"/>
      <c r="T672" s="1"/>
      <c r="V672" s="1"/>
      <c r="W672" s="1"/>
      <c r="AJ672" s="1"/>
    </row>
    <row r="673" ht="14.25" customHeight="1" spans="1:36" x14ac:dyDescent="0.25">
      <c r="A673" s="1"/>
      <c r="B673" s="1"/>
      <c r="C673" s="1"/>
      <c r="D673" s="1"/>
      <c r="E673" s="1"/>
      <c r="F673" s="1"/>
      <c r="G673" s="1"/>
      <c r="H673" s="1"/>
      <c r="I673" s="1"/>
      <c r="J673" s="1"/>
      <c r="K673" s="1"/>
      <c r="L673" s="1"/>
      <c r="M673" s="1"/>
      <c r="N673" s="1"/>
      <c r="O673" s="1"/>
      <c r="Q673" s="1"/>
      <c r="R673" s="2"/>
      <c r="S673" s="1"/>
      <c r="T673" s="1"/>
      <c r="V673" s="1"/>
      <c r="W673" s="1"/>
      <c r="AJ673" s="1"/>
    </row>
    <row r="674" ht="14.25" customHeight="1" spans="1:36" x14ac:dyDescent="0.25">
      <c r="A674" s="1"/>
      <c r="B674" s="1"/>
      <c r="C674" s="1"/>
      <c r="D674" s="1"/>
      <c r="E674" s="1"/>
      <c r="F674" s="1"/>
      <c r="G674" s="1"/>
      <c r="H674" s="1"/>
      <c r="I674" s="1"/>
      <c r="J674" s="1"/>
      <c r="K674" s="1"/>
      <c r="L674" s="1"/>
      <c r="M674" s="1"/>
      <c r="N674" s="1"/>
      <c r="O674" s="1"/>
      <c r="Q674" s="1"/>
      <c r="R674" s="2"/>
      <c r="S674" s="1"/>
      <c r="T674" s="1"/>
      <c r="V674" s="1"/>
      <c r="W674" s="1"/>
      <c r="AJ674" s="1"/>
    </row>
    <row r="675" ht="14.25" customHeight="1" spans="1:36" x14ac:dyDescent="0.25">
      <c r="A675" s="1"/>
      <c r="B675" s="1"/>
      <c r="C675" s="1"/>
      <c r="D675" s="1"/>
      <c r="E675" s="1"/>
      <c r="F675" s="1"/>
      <c r="G675" s="1"/>
      <c r="H675" s="1"/>
      <c r="I675" s="1"/>
      <c r="J675" s="1"/>
      <c r="K675" s="1"/>
      <c r="L675" s="1"/>
      <c r="M675" s="1"/>
      <c r="N675" s="1"/>
      <c r="O675" s="1"/>
      <c r="Q675" s="1"/>
      <c r="R675" s="2"/>
      <c r="S675" s="1"/>
      <c r="T675" s="1"/>
      <c r="V675" s="1"/>
      <c r="W675" s="1"/>
      <c r="AJ675" s="1"/>
    </row>
    <row r="676" ht="14.25" customHeight="1" spans="1:36" x14ac:dyDescent="0.25">
      <c r="A676" s="1"/>
      <c r="B676" s="1"/>
      <c r="C676" s="1"/>
      <c r="D676" s="1"/>
      <c r="E676" s="1"/>
      <c r="F676" s="1"/>
      <c r="G676" s="1"/>
      <c r="H676" s="1"/>
      <c r="I676" s="1"/>
      <c r="J676" s="1"/>
      <c r="K676" s="1"/>
      <c r="L676" s="1"/>
      <c r="M676" s="1"/>
      <c r="N676" s="1"/>
      <c r="O676" s="1"/>
      <c r="Q676" s="1"/>
      <c r="R676" s="2"/>
      <c r="S676" s="1"/>
      <c r="T676" s="1"/>
      <c r="V676" s="1"/>
      <c r="W676" s="1"/>
      <c r="AJ676" s="1"/>
    </row>
    <row r="677" ht="14.25" customHeight="1" spans="1:36" x14ac:dyDescent="0.25">
      <c r="A677" s="1"/>
      <c r="B677" s="1"/>
      <c r="C677" s="1"/>
      <c r="D677" s="1"/>
      <c r="E677" s="1"/>
      <c r="F677" s="1"/>
      <c r="G677" s="1"/>
      <c r="H677" s="1"/>
      <c r="I677" s="1"/>
      <c r="J677" s="1"/>
      <c r="K677" s="1"/>
      <c r="L677" s="1"/>
      <c r="M677" s="1"/>
      <c r="N677" s="1"/>
      <c r="O677" s="1"/>
      <c r="Q677" s="1"/>
      <c r="R677" s="2"/>
      <c r="S677" s="1"/>
      <c r="T677" s="1"/>
      <c r="V677" s="1"/>
      <c r="W677" s="1"/>
      <c r="AJ677" s="1"/>
    </row>
    <row r="678" ht="14.25" customHeight="1" spans="1:36" x14ac:dyDescent="0.25">
      <c r="A678" s="1"/>
      <c r="B678" s="1"/>
      <c r="C678" s="1"/>
      <c r="D678" s="1"/>
      <c r="E678" s="1"/>
      <c r="F678" s="1"/>
      <c r="G678" s="1"/>
      <c r="H678" s="1"/>
      <c r="I678" s="1"/>
      <c r="J678" s="1"/>
      <c r="K678" s="1"/>
      <c r="L678" s="1"/>
      <c r="M678" s="1"/>
      <c r="N678" s="1"/>
      <c r="O678" s="1"/>
      <c r="Q678" s="1"/>
      <c r="R678" s="2"/>
      <c r="S678" s="1"/>
      <c r="T678" s="1"/>
      <c r="V678" s="1"/>
      <c r="W678" s="1"/>
      <c r="AJ678" s="1"/>
    </row>
    <row r="679" ht="14.25" customHeight="1" spans="1:36" x14ac:dyDescent="0.25">
      <c r="A679" s="1"/>
      <c r="B679" s="1"/>
      <c r="C679" s="1"/>
      <c r="D679" s="1"/>
      <c r="E679" s="1"/>
      <c r="F679" s="1"/>
      <c r="G679" s="1"/>
      <c r="H679" s="1"/>
      <c r="I679" s="1"/>
      <c r="J679" s="1"/>
      <c r="K679" s="1"/>
      <c r="L679" s="1"/>
      <c r="M679" s="1"/>
      <c r="N679" s="1"/>
      <c r="O679" s="1"/>
      <c r="Q679" s="1"/>
      <c r="R679" s="2"/>
      <c r="S679" s="1"/>
      <c r="T679" s="1"/>
      <c r="V679" s="1"/>
      <c r="W679" s="1"/>
      <c r="AJ679" s="1"/>
    </row>
    <row r="680" ht="14.25" customHeight="1" spans="1:36" x14ac:dyDescent="0.25">
      <c r="A680" s="1"/>
      <c r="B680" s="1"/>
      <c r="C680" s="1"/>
      <c r="D680" s="1"/>
      <c r="E680" s="1"/>
      <c r="F680" s="1"/>
      <c r="G680" s="1"/>
      <c r="H680" s="1"/>
      <c r="I680" s="1"/>
      <c r="J680" s="1"/>
      <c r="K680" s="1"/>
      <c r="L680" s="1"/>
      <c r="M680" s="1"/>
      <c r="N680" s="1"/>
      <c r="O680" s="1"/>
      <c r="Q680" s="1"/>
      <c r="R680" s="2"/>
      <c r="S680" s="1"/>
      <c r="T680" s="1"/>
      <c r="V680" s="1"/>
      <c r="W680" s="1"/>
      <c r="AJ680" s="1"/>
    </row>
    <row r="681" ht="14.25" customHeight="1" spans="1:36" x14ac:dyDescent="0.25">
      <c r="A681" s="1"/>
      <c r="B681" s="1"/>
      <c r="C681" s="1"/>
      <c r="D681" s="1"/>
      <c r="E681" s="1"/>
      <c r="F681" s="1"/>
      <c r="G681" s="1"/>
      <c r="H681" s="1"/>
      <c r="I681" s="1"/>
      <c r="J681" s="1"/>
      <c r="K681" s="1"/>
      <c r="L681" s="1"/>
      <c r="M681" s="1"/>
      <c r="N681" s="1"/>
      <c r="O681" s="1"/>
      <c r="Q681" s="1"/>
      <c r="R681" s="2"/>
      <c r="S681" s="1"/>
      <c r="T681" s="1"/>
      <c r="V681" s="1"/>
      <c r="W681" s="1"/>
      <c r="AJ681" s="1"/>
    </row>
    <row r="682" ht="14.25" customHeight="1" spans="1:36" x14ac:dyDescent="0.25">
      <c r="A682" s="1"/>
      <c r="B682" s="1"/>
      <c r="C682" s="1"/>
      <c r="D682" s="1"/>
      <c r="E682" s="1"/>
      <c r="F682" s="1"/>
      <c r="G682" s="1"/>
      <c r="H682" s="1"/>
      <c r="I682" s="1"/>
      <c r="J682" s="1"/>
      <c r="K682" s="1"/>
      <c r="L682" s="1"/>
      <c r="M682" s="1"/>
      <c r="N682" s="1"/>
      <c r="O682" s="1"/>
      <c r="Q682" s="1"/>
      <c r="R682" s="2"/>
      <c r="S682" s="1"/>
      <c r="T682" s="1"/>
      <c r="V682" s="1"/>
      <c r="W682" s="1"/>
      <c r="AJ682" s="1"/>
    </row>
    <row r="683" ht="14.25" customHeight="1" spans="1:36" x14ac:dyDescent="0.25">
      <c r="A683" s="1"/>
      <c r="B683" s="1"/>
      <c r="C683" s="1"/>
      <c r="D683" s="1"/>
      <c r="E683" s="1"/>
      <c r="F683" s="1"/>
      <c r="G683" s="1"/>
      <c r="H683" s="1"/>
      <c r="I683" s="1"/>
      <c r="J683" s="1"/>
      <c r="K683" s="1"/>
      <c r="L683" s="1"/>
      <c r="M683" s="1"/>
      <c r="N683" s="1"/>
      <c r="O683" s="1"/>
      <c r="Q683" s="1"/>
      <c r="R683" s="2"/>
      <c r="S683" s="1"/>
      <c r="T683" s="1"/>
      <c r="V683" s="1"/>
      <c r="W683" s="1"/>
      <c r="AJ683" s="1"/>
    </row>
    <row r="684" ht="14.25" customHeight="1" spans="1:36" x14ac:dyDescent="0.25">
      <c r="A684" s="1"/>
      <c r="B684" s="1"/>
      <c r="C684" s="1"/>
      <c r="D684" s="1"/>
      <c r="E684" s="1"/>
      <c r="F684" s="1"/>
      <c r="G684" s="1"/>
      <c r="H684" s="1"/>
      <c r="I684" s="1"/>
      <c r="J684" s="1"/>
      <c r="K684" s="1"/>
      <c r="L684" s="1"/>
      <c r="M684" s="1"/>
      <c r="N684" s="1"/>
      <c r="O684" s="1"/>
      <c r="Q684" s="1"/>
      <c r="R684" s="2"/>
      <c r="S684" s="1"/>
      <c r="T684" s="1"/>
      <c r="V684" s="1"/>
      <c r="W684" s="1"/>
      <c r="AJ684" s="1"/>
    </row>
    <row r="685" ht="14.25" customHeight="1" spans="1:36" x14ac:dyDescent="0.25">
      <c r="A685" s="1"/>
      <c r="B685" s="1"/>
      <c r="C685" s="1"/>
      <c r="D685" s="1"/>
      <c r="E685" s="1"/>
      <c r="F685" s="1"/>
      <c r="G685" s="1"/>
      <c r="H685" s="1"/>
      <c r="I685" s="1"/>
      <c r="J685" s="1"/>
      <c r="K685" s="1"/>
      <c r="L685" s="1"/>
      <c r="M685" s="1"/>
      <c r="N685" s="1"/>
      <c r="O685" s="1"/>
      <c r="Q685" s="1"/>
      <c r="R685" s="2"/>
      <c r="S685" s="1"/>
      <c r="T685" s="1"/>
      <c r="V685" s="1"/>
      <c r="W685" s="1"/>
      <c r="AJ685" s="1"/>
    </row>
    <row r="686" ht="14.25" customHeight="1" spans="1:36" x14ac:dyDescent="0.25">
      <c r="A686" s="1"/>
      <c r="B686" s="1"/>
      <c r="C686" s="1"/>
      <c r="D686" s="1"/>
      <c r="E686" s="1"/>
      <c r="F686" s="1"/>
      <c r="G686" s="1"/>
      <c r="H686" s="1"/>
      <c r="I686" s="1"/>
      <c r="J686" s="1"/>
      <c r="K686" s="1"/>
      <c r="L686" s="1"/>
      <c r="M686" s="1"/>
      <c r="N686" s="1"/>
      <c r="O686" s="1"/>
      <c r="Q686" s="1"/>
      <c r="R686" s="2"/>
      <c r="S686" s="1"/>
      <c r="T686" s="1"/>
      <c r="V686" s="1"/>
      <c r="W686" s="1"/>
      <c r="AJ686" s="1"/>
    </row>
    <row r="687" ht="14.25" customHeight="1" spans="1:36" x14ac:dyDescent="0.25">
      <c r="A687" s="1"/>
      <c r="B687" s="1"/>
      <c r="C687" s="1"/>
      <c r="D687" s="1"/>
      <c r="E687" s="1"/>
      <c r="F687" s="1"/>
      <c r="G687" s="1"/>
      <c r="H687" s="1"/>
      <c r="I687" s="1"/>
      <c r="J687" s="1"/>
      <c r="K687" s="1"/>
      <c r="L687" s="1"/>
      <c r="M687" s="1"/>
      <c r="N687" s="1"/>
      <c r="O687" s="1"/>
      <c r="Q687" s="1"/>
      <c r="R687" s="2"/>
      <c r="S687" s="1"/>
      <c r="T687" s="1"/>
      <c r="V687" s="1"/>
      <c r="W687" s="1"/>
      <c r="AJ687" s="1"/>
    </row>
    <row r="688" ht="14.25" customHeight="1" spans="1:36" x14ac:dyDescent="0.25">
      <c r="A688" s="1"/>
      <c r="B688" s="1"/>
      <c r="C688" s="1"/>
      <c r="D688" s="1"/>
      <c r="E688" s="1"/>
      <c r="F688" s="1"/>
      <c r="G688" s="1"/>
      <c r="H688" s="1"/>
      <c r="I688" s="1"/>
      <c r="J688" s="1"/>
      <c r="K688" s="1"/>
      <c r="L688" s="1"/>
      <c r="M688" s="1"/>
      <c r="N688" s="1"/>
      <c r="O688" s="1"/>
      <c r="Q688" s="1"/>
      <c r="R688" s="2"/>
      <c r="S688" s="1"/>
      <c r="T688" s="1"/>
      <c r="V688" s="1"/>
      <c r="W688" s="1"/>
      <c r="AJ688" s="1"/>
    </row>
    <row r="689" ht="14.25" customHeight="1" spans="1:36" x14ac:dyDescent="0.25">
      <c r="A689" s="1"/>
      <c r="B689" s="1"/>
      <c r="C689" s="1"/>
      <c r="D689" s="1"/>
      <c r="E689" s="1"/>
      <c r="F689" s="1"/>
      <c r="G689" s="1"/>
      <c r="H689" s="1"/>
      <c r="I689" s="1"/>
      <c r="J689" s="1"/>
      <c r="K689" s="1"/>
      <c r="L689" s="1"/>
      <c r="M689" s="1"/>
      <c r="N689" s="1"/>
      <c r="O689" s="1"/>
      <c r="Q689" s="1"/>
      <c r="R689" s="2"/>
      <c r="S689" s="1"/>
      <c r="T689" s="1"/>
      <c r="V689" s="1"/>
      <c r="W689" s="1"/>
      <c r="AJ689" s="1"/>
    </row>
    <row r="690" ht="14.25" customHeight="1" spans="1:36" x14ac:dyDescent="0.25">
      <c r="A690" s="1"/>
      <c r="B690" s="1"/>
      <c r="C690" s="1"/>
      <c r="D690" s="1"/>
      <c r="E690" s="1"/>
      <c r="F690" s="1"/>
      <c r="G690" s="1"/>
      <c r="H690" s="1"/>
      <c r="I690" s="1"/>
      <c r="J690" s="1"/>
      <c r="K690" s="1"/>
      <c r="L690" s="1"/>
      <c r="M690" s="1"/>
      <c r="N690" s="1"/>
      <c r="O690" s="1"/>
      <c r="Q690" s="1"/>
      <c r="R690" s="2"/>
      <c r="S690" s="1"/>
      <c r="T690" s="1"/>
      <c r="V690" s="1"/>
      <c r="W690" s="1"/>
      <c r="AJ690" s="1"/>
    </row>
    <row r="691" ht="14.25" customHeight="1" spans="1:36" x14ac:dyDescent="0.25">
      <c r="A691" s="1"/>
      <c r="B691" s="1"/>
      <c r="C691" s="1"/>
      <c r="D691" s="1"/>
      <c r="E691" s="1"/>
      <c r="F691" s="1"/>
      <c r="G691" s="1"/>
      <c r="H691" s="1"/>
      <c r="I691" s="1"/>
      <c r="J691" s="1"/>
      <c r="K691" s="1"/>
      <c r="L691" s="1"/>
      <c r="M691" s="1"/>
      <c r="N691" s="1"/>
      <c r="O691" s="1"/>
      <c r="Q691" s="1"/>
      <c r="R691" s="2"/>
      <c r="S691" s="1"/>
      <c r="T691" s="1"/>
      <c r="V691" s="1"/>
      <c r="W691" s="1"/>
      <c r="AJ691" s="1"/>
    </row>
    <row r="692" ht="14.25" customHeight="1" spans="1:36" x14ac:dyDescent="0.25">
      <c r="A692" s="1"/>
      <c r="B692" s="1"/>
      <c r="C692" s="1"/>
      <c r="D692" s="1"/>
      <c r="E692" s="1"/>
      <c r="F692" s="1"/>
      <c r="G692" s="1"/>
      <c r="H692" s="1"/>
      <c r="I692" s="1"/>
      <c r="J692" s="1"/>
      <c r="K692" s="1"/>
      <c r="L692" s="1"/>
      <c r="M692" s="1"/>
      <c r="N692" s="1"/>
      <c r="O692" s="1"/>
      <c r="Q692" s="1"/>
      <c r="R692" s="2"/>
      <c r="S692" s="1"/>
      <c r="T692" s="1"/>
      <c r="V692" s="1"/>
      <c r="W692" s="1"/>
      <c r="AJ692" s="1"/>
    </row>
    <row r="693" ht="14.25" customHeight="1" spans="1:36" x14ac:dyDescent="0.25">
      <c r="A693" s="1"/>
      <c r="B693" s="1"/>
      <c r="C693" s="1"/>
      <c r="D693" s="1"/>
      <c r="E693" s="1"/>
      <c r="F693" s="1"/>
      <c r="G693" s="1"/>
      <c r="H693" s="1"/>
      <c r="I693" s="1"/>
      <c r="J693" s="1"/>
      <c r="K693" s="1"/>
      <c r="L693" s="1"/>
      <c r="M693" s="1"/>
      <c r="N693" s="1"/>
      <c r="O693" s="1"/>
      <c r="Q693" s="1"/>
      <c r="R693" s="2"/>
      <c r="S693" s="1"/>
      <c r="T693" s="1"/>
      <c r="V693" s="1"/>
      <c r="W693" s="1"/>
      <c r="AJ693" s="1"/>
    </row>
    <row r="694" ht="14.25" customHeight="1" spans="1:36" x14ac:dyDescent="0.25">
      <c r="A694" s="1"/>
      <c r="B694" s="1"/>
      <c r="C694" s="1"/>
      <c r="D694" s="1"/>
      <c r="E694" s="1"/>
      <c r="F694" s="1"/>
      <c r="G694" s="1"/>
      <c r="H694" s="1"/>
      <c r="I694" s="1"/>
      <c r="J694" s="1"/>
      <c r="K694" s="1"/>
      <c r="L694" s="1"/>
      <c r="M694" s="1"/>
      <c r="N694" s="1"/>
      <c r="O694" s="1"/>
      <c r="Q694" s="1"/>
      <c r="R694" s="2"/>
      <c r="S694" s="1"/>
      <c r="T694" s="1"/>
      <c r="V694" s="1"/>
      <c r="W694" s="1"/>
      <c r="AJ694" s="1"/>
    </row>
    <row r="695" ht="14.25" customHeight="1" spans="1:36" x14ac:dyDescent="0.25">
      <c r="A695" s="1"/>
      <c r="B695" s="1"/>
      <c r="C695" s="1"/>
      <c r="D695" s="1"/>
      <c r="E695" s="1"/>
      <c r="F695" s="1"/>
      <c r="G695" s="1"/>
      <c r="H695" s="1"/>
      <c r="I695" s="1"/>
      <c r="J695" s="1"/>
      <c r="K695" s="1"/>
      <c r="L695" s="1"/>
      <c r="M695" s="1"/>
      <c r="N695" s="1"/>
      <c r="O695" s="1"/>
      <c r="Q695" s="1"/>
      <c r="R695" s="2"/>
      <c r="S695" s="1"/>
      <c r="T695" s="1"/>
      <c r="V695" s="1"/>
      <c r="W695" s="1"/>
      <c r="AJ695" s="1"/>
    </row>
    <row r="696" ht="14.25" customHeight="1" spans="1:36" x14ac:dyDescent="0.25">
      <c r="A696" s="1"/>
      <c r="B696" s="1"/>
      <c r="C696" s="1"/>
      <c r="D696" s="1"/>
      <c r="E696" s="1"/>
      <c r="F696" s="1"/>
      <c r="G696" s="1"/>
      <c r="H696" s="1"/>
      <c r="I696" s="1"/>
      <c r="J696" s="1"/>
      <c r="K696" s="1"/>
      <c r="L696" s="1"/>
      <c r="M696" s="1"/>
      <c r="N696" s="1"/>
      <c r="O696" s="1"/>
      <c r="Q696" s="1"/>
      <c r="R696" s="2"/>
      <c r="S696" s="1"/>
      <c r="T696" s="1"/>
      <c r="V696" s="1"/>
      <c r="W696" s="1"/>
      <c r="AJ696" s="1"/>
    </row>
    <row r="697" ht="14.25" customHeight="1" spans="1:36" x14ac:dyDescent="0.25">
      <c r="A697" s="1"/>
      <c r="B697" s="1"/>
      <c r="C697" s="1"/>
      <c r="D697" s="1"/>
      <c r="E697" s="1"/>
      <c r="F697" s="1"/>
      <c r="G697" s="1"/>
      <c r="H697" s="1"/>
      <c r="I697" s="1"/>
      <c r="J697" s="1"/>
      <c r="K697" s="1"/>
      <c r="L697" s="1"/>
      <c r="M697" s="1"/>
      <c r="N697" s="1"/>
      <c r="O697" s="1"/>
      <c r="Q697" s="1"/>
      <c r="R697" s="2"/>
      <c r="S697" s="1"/>
      <c r="T697" s="1"/>
      <c r="V697" s="1"/>
      <c r="W697" s="1"/>
      <c r="AJ697" s="1"/>
    </row>
    <row r="698" ht="14.25" customHeight="1" spans="1:36" x14ac:dyDescent="0.25">
      <c r="A698" s="1"/>
      <c r="B698" s="1"/>
      <c r="C698" s="1"/>
      <c r="D698" s="1"/>
      <c r="E698" s="1"/>
      <c r="F698" s="1"/>
      <c r="G698" s="1"/>
      <c r="H698" s="1"/>
      <c r="I698" s="1"/>
      <c r="J698" s="1"/>
      <c r="K698" s="1"/>
      <c r="L698" s="1"/>
      <c r="M698" s="1"/>
      <c r="N698" s="1"/>
      <c r="O698" s="1"/>
      <c r="Q698" s="1"/>
      <c r="R698" s="2"/>
      <c r="S698" s="1"/>
      <c r="T698" s="1"/>
      <c r="V698" s="1"/>
      <c r="W698" s="1"/>
      <c r="AJ698" s="1"/>
    </row>
    <row r="699" ht="14.25" customHeight="1" spans="1:36" x14ac:dyDescent="0.25">
      <c r="A699" s="1"/>
      <c r="B699" s="1"/>
      <c r="C699" s="1"/>
      <c r="D699" s="1"/>
      <c r="E699" s="1"/>
      <c r="F699" s="1"/>
      <c r="G699" s="1"/>
      <c r="H699" s="1"/>
      <c r="I699" s="1"/>
      <c r="J699" s="1"/>
      <c r="K699" s="1"/>
      <c r="L699" s="1"/>
      <c r="M699" s="1"/>
      <c r="N699" s="1"/>
      <c r="O699" s="1"/>
      <c r="Q699" s="1"/>
      <c r="R699" s="2"/>
      <c r="S699" s="1"/>
      <c r="T699" s="1"/>
      <c r="V699" s="1"/>
      <c r="W699" s="1"/>
      <c r="AJ699" s="1"/>
    </row>
    <row r="700" ht="14.25" customHeight="1" spans="1:36" x14ac:dyDescent="0.25">
      <c r="A700" s="1"/>
      <c r="B700" s="1"/>
      <c r="C700" s="1"/>
      <c r="D700" s="1"/>
      <c r="E700" s="1"/>
      <c r="F700" s="1"/>
      <c r="G700" s="1"/>
      <c r="H700" s="1"/>
      <c r="I700" s="1"/>
      <c r="J700" s="1"/>
      <c r="K700" s="1"/>
      <c r="L700" s="1"/>
      <c r="M700" s="1"/>
      <c r="N700" s="1"/>
      <c r="O700" s="1"/>
      <c r="Q700" s="1"/>
      <c r="R700" s="2"/>
      <c r="S700" s="1"/>
      <c r="T700" s="1"/>
      <c r="V700" s="1"/>
      <c r="W700" s="1"/>
      <c r="AJ700" s="1"/>
    </row>
    <row r="701" ht="14.25" customHeight="1" spans="1:36" x14ac:dyDescent="0.25">
      <c r="A701" s="1"/>
      <c r="B701" s="1"/>
      <c r="C701" s="1"/>
      <c r="D701" s="1"/>
      <c r="E701" s="1"/>
      <c r="F701" s="1"/>
      <c r="G701" s="1"/>
      <c r="H701" s="1"/>
      <c r="I701" s="1"/>
      <c r="J701" s="1"/>
      <c r="K701" s="1"/>
      <c r="L701" s="1"/>
      <c r="M701" s="1"/>
      <c r="N701" s="1"/>
      <c r="O701" s="1"/>
      <c r="Q701" s="1"/>
      <c r="R701" s="2"/>
      <c r="S701" s="1"/>
      <c r="T701" s="1"/>
      <c r="V701" s="1"/>
      <c r="W701" s="1"/>
      <c r="AJ701" s="1"/>
    </row>
    <row r="702" ht="14.25" customHeight="1" spans="1:36" x14ac:dyDescent="0.25">
      <c r="A702" s="1"/>
      <c r="B702" s="1"/>
      <c r="C702" s="1"/>
      <c r="D702" s="1"/>
      <c r="E702" s="1"/>
      <c r="F702" s="1"/>
      <c r="G702" s="1"/>
      <c r="H702" s="1"/>
      <c r="I702" s="1"/>
      <c r="J702" s="1"/>
      <c r="K702" s="1"/>
      <c r="L702" s="1"/>
      <c r="M702" s="1"/>
      <c r="N702" s="1"/>
      <c r="O702" s="1"/>
      <c r="Q702" s="1"/>
      <c r="R702" s="2"/>
      <c r="S702" s="1"/>
      <c r="T702" s="1"/>
      <c r="V702" s="1"/>
      <c r="W702" s="1"/>
      <c r="AJ702" s="1"/>
    </row>
    <row r="703" ht="14.25" customHeight="1" spans="1:36" x14ac:dyDescent="0.25">
      <c r="A703" s="1"/>
      <c r="B703" s="1"/>
      <c r="C703" s="1"/>
      <c r="D703" s="1"/>
      <c r="E703" s="1"/>
      <c r="F703" s="1"/>
      <c r="G703" s="1"/>
      <c r="H703" s="1"/>
      <c r="I703" s="1"/>
      <c r="J703" s="1"/>
      <c r="K703" s="1"/>
      <c r="L703" s="1"/>
      <c r="M703" s="1"/>
      <c r="N703" s="1"/>
      <c r="O703" s="1"/>
      <c r="Q703" s="1"/>
      <c r="R703" s="2"/>
      <c r="S703" s="1"/>
      <c r="T703" s="1"/>
      <c r="V703" s="1"/>
      <c r="W703" s="1"/>
      <c r="AJ703" s="1"/>
    </row>
    <row r="704" ht="14.25" customHeight="1" spans="1:36" x14ac:dyDescent="0.25">
      <c r="A704" s="1"/>
      <c r="B704" s="1"/>
      <c r="C704" s="1"/>
      <c r="D704" s="1"/>
      <c r="E704" s="1"/>
      <c r="F704" s="1"/>
      <c r="G704" s="1"/>
      <c r="H704" s="1"/>
      <c r="I704" s="1"/>
      <c r="J704" s="1"/>
      <c r="K704" s="1"/>
      <c r="L704" s="1"/>
      <c r="M704" s="1"/>
      <c r="N704" s="1"/>
      <c r="O704" s="1"/>
      <c r="Q704" s="1"/>
      <c r="R704" s="2"/>
      <c r="S704" s="1"/>
      <c r="T704" s="1"/>
      <c r="V704" s="1"/>
      <c r="W704" s="1"/>
      <c r="AJ704" s="1"/>
    </row>
    <row r="705" ht="14.25" customHeight="1" spans="1:36" x14ac:dyDescent="0.25">
      <c r="A705" s="1"/>
      <c r="B705" s="1"/>
      <c r="C705" s="1"/>
      <c r="D705" s="1"/>
      <c r="E705" s="1"/>
      <c r="F705" s="1"/>
      <c r="G705" s="1"/>
      <c r="H705" s="1"/>
      <c r="I705" s="1"/>
      <c r="J705" s="1"/>
      <c r="K705" s="1"/>
      <c r="L705" s="1"/>
      <c r="M705" s="1"/>
      <c r="N705" s="1"/>
      <c r="O705" s="1"/>
      <c r="Q705" s="1"/>
      <c r="R705" s="2"/>
      <c r="S705" s="1"/>
      <c r="T705" s="1"/>
      <c r="V705" s="1"/>
      <c r="W705" s="1"/>
      <c r="AJ705" s="1"/>
    </row>
    <row r="706" ht="14.25" customHeight="1" spans="1:36" x14ac:dyDescent="0.25">
      <c r="A706" s="1"/>
      <c r="B706" s="1"/>
      <c r="C706" s="1"/>
      <c r="D706" s="1"/>
      <c r="E706" s="1"/>
      <c r="F706" s="1"/>
      <c r="G706" s="1"/>
      <c r="H706" s="1"/>
      <c r="I706" s="1"/>
      <c r="J706" s="1"/>
      <c r="K706" s="1"/>
      <c r="L706" s="1"/>
      <c r="M706" s="1"/>
      <c r="N706" s="1"/>
      <c r="O706" s="1"/>
      <c r="Q706" s="1"/>
      <c r="R706" s="2"/>
      <c r="S706" s="1"/>
      <c r="T706" s="1"/>
      <c r="V706" s="1"/>
      <c r="W706" s="1"/>
      <c r="AJ706" s="1"/>
    </row>
    <row r="707" ht="14.25" customHeight="1" spans="1:36" x14ac:dyDescent="0.25">
      <c r="A707" s="1"/>
      <c r="B707" s="1"/>
      <c r="C707" s="1"/>
      <c r="D707" s="1"/>
      <c r="E707" s="1"/>
      <c r="F707" s="1"/>
      <c r="G707" s="1"/>
      <c r="H707" s="1"/>
      <c r="I707" s="1"/>
      <c r="J707" s="1"/>
      <c r="K707" s="1"/>
      <c r="L707" s="1"/>
      <c r="M707" s="1"/>
      <c r="N707" s="1"/>
      <c r="O707" s="1"/>
      <c r="Q707" s="1"/>
      <c r="R707" s="2"/>
      <c r="S707" s="1"/>
      <c r="T707" s="1"/>
      <c r="V707" s="1"/>
      <c r="W707" s="1"/>
      <c r="AJ707" s="1"/>
    </row>
    <row r="708" ht="14.25" customHeight="1" spans="1:36" x14ac:dyDescent="0.25">
      <c r="A708" s="1"/>
      <c r="B708" s="1"/>
      <c r="C708" s="1"/>
      <c r="D708" s="1"/>
      <c r="E708" s="1"/>
      <c r="F708" s="1"/>
      <c r="G708" s="1"/>
      <c r="H708" s="1"/>
      <c r="I708" s="1"/>
      <c r="J708" s="1"/>
      <c r="K708" s="1"/>
      <c r="L708" s="1"/>
      <c r="M708" s="1"/>
      <c r="N708" s="1"/>
      <c r="O708" s="1"/>
      <c r="Q708" s="1"/>
      <c r="R708" s="2"/>
      <c r="S708" s="1"/>
      <c r="T708" s="1"/>
      <c r="V708" s="1"/>
      <c r="W708" s="1"/>
      <c r="AJ708" s="1"/>
    </row>
    <row r="709" ht="14.25" customHeight="1" spans="1:36" x14ac:dyDescent="0.25">
      <c r="A709" s="1"/>
      <c r="B709" s="1"/>
      <c r="C709" s="1"/>
      <c r="D709" s="1"/>
      <c r="E709" s="1"/>
      <c r="F709" s="1"/>
      <c r="G709" s="1"/>
      <c r="H709" s="1"/>
      <c r="I709" s="1"/>
      <c r="J709" s="1"/>
      <c r="K709" s="1"/>
      <c r="L709" s="1"/>
      <c r="M709" s="1"/>
      <c r="N709" s="1"/>
      <c r="O709" s="1"/>
      <c r="Q709" s="1"/>
      <c r="R709" s="2"/>
      <c r="S709" s="1"/>
      <c r="T709" s="1"/>
      <c r="V709" s="1"/>
      <c r="W709" s="1"/>
      <c r="AJ709" s="1"/>
    </row>
    <row r="710" ht="14.25" customHeight="1" spans="1:36" x14ac:dyDescent="0.25">
      <c r="A710" s="1"/>
      <c r="B710" s="1"/>
      <c r="C710" s="1"/>
      <c r="D710" s="1"/>
      <c r="E710" s="1"/>
      <c r="F710" s="1"/>
      <c r="G710" s="1"/>
      <c r="H710" s="1"/>
      <c r="I710" s="1"/>
      <c r="J710" s="1"/>
      <c r="K710" s="1"/>
      <c r="L710" s="1"/>
      <c r="M710" s="1"/>
      <c r="N710" s="1"/>
      <c r="O710" s="1"/>
      <c r="Q710" s="1"/>
      <c r="R710" s="2"/>
      <c r="S710" s="1"/>
      <c r="T710" s="1"/>
      <c r="V710" s="1"/>
      <c r="W710" s="1"/>
      <c r="AJ710" s="1"/>
    </row>
    <row r="711" ht="14.25" customHeight="1" spans="1:36" x14ac:dyDescent="0.25">
      <c r="A711" s="1"/>
      <c r="B711" s="1"/>
      <c r="C711" s="1"/>
      <c r="D711" s="1"/>
      <c r="E711" s="1"/>
      <c r="F711" s="1"/>
      <c r="G711" s="1"/>
      <c r="H711" s="1"/>
      <c r="I711" s="1"/>
      <c r="J711" s="1"/>
      <c r="K711" s="1"/>
      <c r="L711" s="1"/>
      <c r="M711" s="1"/>
      <c r="N711" s="1"/>
      <c r="O711" s="1"/>
      <c r="Q711" s="1"/>
      <c r="R711" s="2"/>
      <c r="S711" s="1"/>
      <c r="T711" s="1"/>
      <c r="V711" s="1"/>
      <c r="W711" s="1"/>
      <c r="AJ711" s="1"/>
    </row>
    <row r="712" ht="14.25" customHeight="1" spans="1:36" x14ac:dyDescent="0.25">
      <c r="A712" s="1"/>
      <c r="B712" s="1"/>
      <c r="C712" s="1"/>
      <c r="D712" s="1"/>
      <c r="E712" s="1"/>
      <c r="F712" s="1"/>
      <c r="G712" s="1"/>
      <c r="H712" s="1"/>
      <c r="I712" s="1"/>
      <c r="J712" s="1"/>
      <c r="K712" s="1"/>
      <c r="L712" s="1"/>
      <c r="M712" s="1"/>
      <c r="N712" s="1"/>
      <c r="O712" s="1"/>
      <c r="Q712" s="1"/>
      <c r="R712" s="2"/>
      <c r="S712" s="1"/>
      <c r="T712" s="1"/>
      <c r="V712" s="1"/>
      <c r="W712" s="1"/>
      <c r="AJ712" s="1"/>
    </row>
    <row r="713" ht="14.25" customHeight="1" spans="1:36" x14ac:dyDescent="0.25">
      <c r="A713" s="1"/>
      <c r="B713" s="1"/>
      <c r="C713" s="1"/>
      <c r="D713" s="1"/>
      <c r="E713" s="1"/>
      <c r="F713" s="1"/>
      <c r="G713" s="1"/>
      <c r="H713" s="1"/>
      <c r="I713" s="1"/>
      <c r="J713" s="1"/>
      <c r="K713" s="1"/>
      <c r="L713" s="1"/>
      <c r="M713" s="1"/>
      <c r="N713" s="1"/>
      <c r="O713" s="1"/>
      <c r="Q713" s="1"/>
      <c r="R713" s="2"/>
      <c r="S713" s="1"/>
      <c r="T713" s="1"/>
      <c r="V713" s="1"/>
      <c r="W713" s="1"/>
      <c r="AJ713" s="1"/>
    </row>
    <row r="714" ht="14.25" customHeight="1" spans="1:36" x14ac:dyDescent="0.25">
      <c r="A714" s="1"/>
      <c r="B714" s="1"/>
      <c r="C714" s="1"/>
      <c r="D714" s="1"/>
      <c r="E714" s="1"/>
      <c r="F714" s="1"/>
      <c r="G714" s="1"/>
      <c r="H714" s="1"/>
      <c r="I714" s="1"/>
      <c r="J714" s="1"/>
      <c r="K714" s="1"/>
      <c r="L714" s="1"/>
      <c r="M714" s="1"/>
      <c r="N714" s="1"/>
      <c r="O714" s="1"/>
      <c r="Q714" s="1"/>
      <c r="R714" s="2"/>
      <c r="S714" s="1"/>
      <c r="T714" s="1"/>
      <c r="V714" s="1"/>
      <c r="W714" s="1"/>
      <c r="AJ714" s="1"/>
    </row>
    <row r="715" ht="14.25" customHeight="1" spans="1:36" x14ac:dyDescent="0.25">
      <c r="A715" s="1"/>
      <c r="B715" s="1"/>
      <c r="C715" s="1"/>
      <c r="D715" s="1"/>
      <c r="E715" s="1"/>
      <c r="F715" s="1"/>
      <c r="G715" s="1"/>
      <c r="H715" s="1"/>
      <c r="I715" s="1"/>
      <c r="J715" s="1"/>
      <c r="K715" s="1"/>
      <c r="L715" s="1"/>
      <c r="M715" s="1"/>
      <c r="N715" s="1"/>
      <c r="O715" s="1"/>
      <c r="Q715" s="1"/>
      <c r="R715" s="2"/>
      <c r="S715" s="1"/>
      <c r="T715" s="1"/>
      <c r="V715" s="1"/>
      <c r="W715" s="1"/>
      <c r="AJ715" s="1"/>
    </row>
    <row r="716" ht="14.25" customHeight="1" spans="1:36" x14ac:dyDescent="0.25">
      <c r="A716" s="1"/>
      <c r="B716" s="1"/>
      <c r="C716" s="1"/>
      <c r="D716" s="1"/>
      <c r="E716" s="1"/>
      <c r="F716" s="1"/>
      <c r="G716" s="1"/>
      <c r="H716" s="1"/>
      <c r="I716" s="1"/>
      <c r="J716" s="1"/>
      <c r="K716" s="1"/>
      <c r="L716" s="1"/>
      <c r="M716" s="1"/>
      <c r="N716" s="1"/>
      <c r="O716" s="1"/>
      <c r="Q716" s="1"/>
      <c r="R716" s="2"/>
      <c r="S716" s="1"/>
      <c r="T716" s="1"/>
      <c r="V716" s="1"/>
      <c r="W716" s="1"/>
      <c r="AJ716" s="1"/>
    </row>
    <row r="717" ht="14.25" customHeight="1" spans="1:36" x14ac:dyDescent="0.25">
      <c r="A717" s="1"/>
      <c r="B717" s="1"/>
      <c r="C717" s="1"/>
      <c r="D717" s="1"/>
      <c r="E717" s="1"/>
      <c r="F717" s="1"/>
      <c r="G717" s="1"/>
      <c r="H717" s="1"/>
      <c r="I717" s="1"/>
      <c r="J717" s="1"/>
      <c r="K717" s="1"/>
      <c r="L717" s="1"/>
      <c r="M717" s="1"/>
      <c r="N717" s="1"/>
      <c r="O717" s="1"/>
      <c r="Q717" s="1"/>
      <c r="R717" s="2"/>
      <c r="S717" s="1"/>
      <c r="T717" s="1"/>
      <c r="V717" s="1"/>
      <c r="W717" s="1"/>
      <c r="AJ717" s="1"/>
    </row>
    <row r="718" ht="14.25" customHeight="1" spans="1:36" x14ac:dyDescent="0.25">
      <c r="A718" s="1"/>
      <c r="B718" s="1"/>
      <c r="C718" s="1"/>
      <c r="D718" s="1"/>
      <c r="E718" s="1"/>
      <c r="F718" s="1"/>
      <c r="G718" s="1"/>
      <c r="H718" s="1"/>
      <c r="I718" s="1"/>
      <c r="J718" s="1"/>
      <c r="K718" s="1"/>
      <c r="L718" s="1"/>
      <c r="M718" s="1"/>
      <c r="N718" s="1"/>
      <c r="O718" s="1"/>
      <c r="Q718" s="1"/>
      <c r="R718" s="2"/>
      <c r="S718" s="1"/>
      <c r="T718" s="1"/>
      <c r="V718" s="1"/>
      <c r="W718" s="1"/>
      <c r="AJ718" s="1"/>
    </row>
    <row r="719" ht="14.25" customHeight="1" spans="1:36" x14ac:dyDescent="0.25">
      <c r="A719" s="1"/>
      <c r="B719" s="1"/>
      <c r="C719" s="1"/>
      <c r="D719" s="1"/>
      <c r="E719" s="1"/>
      <c r="F719" s="1"/>
      <c r="G719" s="1"/>
      <c r="H719" s="1"/>
      <c r="I719" s="1"/>
      <c r="J719" s="1"/>
      <c r="K719" s="1"/>
      <c r="L719" s="1"/>
      <c r="M719" s="1"/>
      <c r="N719" s="1"/>
      <c r="O719" s="1"/>
      <c r="Q719" s="1"/>
      <c r="R719" s="2"/>
      <c r="S719" s="1"/>
      <c r="T719" s="1"/>
      <c r="V719" s="1"/>
      <c r="W719" s="1"/>
      <c r="AJ719" s="1"/>
    </row>
    <row r="720" ht="14.25" customHeight="1" spans="1:36" x14ac:dyDescent="0.25">
      <c r="A720" s="1"/>
      <c r="B720" s="1"/>
      <c r="C720" s="1"/>
      <c r="D720" s="1"/>
      <c r="E720" s="1"/>
      <c r="F720" s="1"/>
      <c r="G720" s="1"/>
      <c r="H720" s="1"/>
      <c r="I720" s="1"/>
      <c r="J720" s="1"/>
      <c r="K720" s="1"/>
      <c r="L720" s="1"/>
      <c r="M720" s="1"/>
      <c r="N720" s="1"/>
      <c r="O720" s="1"/>
      <c r="Q720" s="1"/>
      <c r="R720" s="2"/>
      <c r="S720" s="1"/>
      <c r="T720" s="1"/>
      <c r="V720" s="1"/>
      <c r="W720" s="1"/>
      <c r="AJ720" s="1"/>
    </row>
    <row r="721" ht="14.25" customHeight="1" spans="1:36" x14ac:dyDescent="0.25">
      <c r="A721" s="1"/>
      <c r="B721" s="1"/>
      <c r="C721" s="1"/>
      <c r="D721" s="1"/>
      <c r="E721" s="1"/>
      <c r="F721" s="1"/>
      <c r="G721" s="1"/>
      <c r="H721" s="1"/>
      <c r="I721" s="1"/>
      <c r="J721" s="1"/>
      <c r="K721" s="1"/>
      <c r="L721" s="1"/>
      <c r="M721" s="1"/>
      <c r="N721" s="1"/>
      <c r="O721" s="1"/>
      <c r="Q721" s="1"/>
      <c r="R721" s="2"/>
      <c r="S721" s="1"/>
      <c r="T721" s="1"/>
      <c r="V721" s="1"/>
      <c r="W721" s="1"/>
      <c r="AJ721" s="1"/>
    </row>
    <row r="722" ht="14.25" customHeight="1" spans="1:36" x14ac:dyDescent="0.25">
      <c r="A722" s="1"/>
      <c r="B722" s="1"/>
      <c r="C722" s="1"/>
      <c r="D722" s="1"/>
      <c r="E722" s="1"/>
      <c r="F722" s="1"/>
      <c r="G722" s="1"/>
      <c r="H722" s="1"/>
      <c r="I722" s="1"/>
      <c r="J722" s="1"/>
      <c r="K722" s="1"/>
      <c r="L722" s="1"/>
      <c r="M722" s="1"/>
      <c r="N722" s="1"/>
      <c r="O722" s="1"/>
      <c r="Q722" s="1"/>
      <c r="R722" s="2"/>
      <c r="S722" s="1"/>
      <c r="T722" s="1"/>
      <c r="V722" s="1"/>
      <c r="W722" s="1"/>
      <c r="AJ722" s="1"/>
    </row>
    <row r="723" ht="14.25" customHeight="1" spans="1:36" x14ac:dyDescent="0.25">
      <c r="A723" s="1"/>
      <c r="B723" s="1"/>
      <c r="C723" s="1"/>
      <c r="D723" s="1"/>
      <c r="E723" s="1"/>
      <c r="F723" s="1"/>
      <c r="G723" s="1"/>
      <c r="H723" s="1"/>
      <c r="I723" s="1"/>
      <c r="J723" s="1"/>
      <c r="K723" s="1"/>
      <c r="L723" s="1"/>
      <c r="M723" s="1"/>
      <c r="N723" s="1"/>
      <c r="O723" s="1"/>
      <c r="Q723" s="1"/>
      <c r="R723" s="2"/>
      <c r="S723" s="1"/>
      <c r="T723" s="1"/>
      <c r="V723" s="1"/>
      <c r="W723" s="1"/>
      <c r="AJ723" s="1"/>
    </row>
    <row r="724" ht="14.25" customHeight="1" spans="1:36" x14ac:dyDescent="0.25">
      <c r="A724" s="1"/>
      <c r="B724" s="1"/>
      <c r="C724" s="1"/>
      <c r="D724" s="1"/>
      <c r="E724" s="1"/>
      <c r="F724" s="1"/>
      <c r="G724" s="1"/>
      <c r="H724" s="1"/>
      <c r="I724" s="1"/>
      <c r="J724" s="1"/>
      <c r="K724" s="1"/>
      <c r="L724" s="1"/>
      <c r="M724" s="1"/>
      <c r="N724" s="1"/>
      <c r="O724" s="1"/>
      <c r="Q724" s="1"/>
      <c r="R724" s="2"/>
      <c r="S724" s="1"/>
      <c r="T724" s="1"/>
      <c r="V724" s="1"/>
      <c r="W724" s="1"/>
      <c r="AJ724" s="1"/>
    </row>
    <row r="725" ht="14.25" customHeight="1" spans="1:36" x14ac:dyDescent="0.25">
      <c r="A725" s="1"/>
      <c r="B725" s="1"/>
      <c r="C725" s="1"/>
      <c r="D725" s="1"/>
      <c r="E725" s="1"/>
      <c r="F725" s="1"/>
      <c r="G725" s="1"/>
      <c r="H725" s="1"/>
      <c r="I725" s="1"/>
      <c r="J725" s="1"/>
      <c r="K725" s="1"/>
      <c r="L725" s="1"/>
      <c r="M725" s="1"/>
      <c r="N725" s="1"/>
      <c r="O725" s="1"/>
      <c r="Q725" s="1"/>
      <c r="R725" s="2"/>
      <c r="S725" s="1"/>
      <c r="T725" s="1"/>
      <c r="V725" s="1"/>
      <c r="W725" s="1"/>
      <c r="AJ725" s="1"/>
    </row>
    <row r="726" ht="14.25" customHeight="1" spans="1:36" x14ac:dyDescent="0.25">
      <c r="A726" s="1"/>
      <c r="B726" s="1"/>
      <c r="C726" s="1"/>
      <c r="D726" s="1"/>
      <c r="E726" s="1"/>
      <c r="F726" s="1"/>
      <c r="G726" s="1"/>
      <c r="H726" s="1"/>
      <c r="I726" s="1"/>
      <c r="J726" s="1"/>
      <c r="K726" s="1"/>
      <c r="L726" s="1"/>
      <c r="M726" s="1"/>
      <c r="N726" s="1"/>
      <c r="O726" s="1"/>
      <c r="Q726" s="1"/>
      <c r="R726" s="2"/>
      <c r="S726" s="1"/>
      <c r="T726" s="1"/>
      <c r="V726" s="1"/>
      <c r="W726" s="1"/>
      <c r="AJ726" s="1"/>
    </row>
    <row r="727" ht="14.25" customHeight="1" spans="1:36" x14ac:dyDescent="0.25">
      <c r="A727" s="1"/>
      <c r="B727" s="1"/>
      <c r="C727" s="1"/>
      <c r="D727" s="1"/>
      <c r="E727" s="1"/>
      <c r="F727" s="1"/>
      <c r="G727" s="1"/>
      <c r="H727" s="1"/>
      <c r="I727" s="1"/>
      <c r="J727" s="1"/>
      <c r="K727" s="1"/>
      <c r="L727" s="1"/>
      <c r="M727" s="1"/>
      <c r="N727" s="1"/>
      <c r="O727" s="1"/>
      <c r="Q727" s="1"/>
      <c r="R727" s="2"/>
      <c r="S727" s="1"/>
      <c r="T727" s="1"/>
      <c r="V727" s="1"/>
      <c r="W727" s="1"/>
      <c r="AJ727" s="1"/>
    </row>
    <row r="728" ht="14.25" customHeight="1" spans="1:36" x14ac:dyDescent="0.25">
      <c r="A728" s="1"/>
      <c r="B728" s="1"/>
      <c r="C728" s="1"/>
      <c r="D728" s="1"/>
      <c r="E728" s="1"/>
      <c r="F728" s="1"/>
      <c r="G728" s="1"/>
      <c r="H728" s="1"/>
      <c r="I728" s="1"/>
      <c r="J728" s="1"/>
      <c r="K728" s="1"/>
      <c r="L728" s="1"/>
      <c r="M728" s="1"/>
      <c r="N728" s="1"/>
      <c r="O728" s="1"/>
      <c r="Q728" s="1"/>
      <c r="R728" s="2"/>
      <c r="S728" s="1"/>
      <c r="T728" s="1"/>
      <c r="V728" s="1"/>
      <c r="W728" s="1"/>
      <c r="AJ728" s="1"/>
    </row>
    <row r="729" ht="14.25" customHeight="1" spans="1:36" x14ac:dyDescent="0.25">
      <c r="A729" s="1"/>
      <c r="B729" s="1"/>
      <c r="C729" s="1"/>
      <c r="D729" s="1"/>
      <c r="E729" s="1"/>
      <c r="F729" s="1"/>
      <c r="G729" s="1"/>
      <c r="H729" s="1"/>
      <c r="I729" s="1"/>
      <c r="J729" s="1"/>
      <c r="K729" s="1"/>
      <c r="L729" s="1"/>
      <c r="M729" s="1"/>
      <c r="N729" s="1"/>
      <c r="O729" s="1"/>
      <c r="Q729" s="1"/>
      <c r="R729" s="2"/>
      <c r="S729" s="1"/>
      <c r="T729" s="1"/>
      <c r="V729" s="1"/>
      <c r="W729" s="1"/>
      <c r="AJ729" s="1"/>
    </row>
    <row r="730" ht="14.25" customHeight="1" spans="1:36" x14ac:dyDescent="0.25">
      <c r="A730" s="1"/>
      <c r="B730" s="1"/>
      <c r="C730" s="1"/>
      <c r="D730" s="1"/>
      <c r="E730" s="1"/>
      <c r="F730" s="1"/>
      <c r="G730" s="1"/>
      <c r="H730" s="1"/>
      <c r="I730" s="1"/>
      <c r="J730" s="1"/>
      <c r="K730" s="1"/>
      <c r="L730" s="1"/>
      <c r="M730" s="1"/>
      <c r="N730" s="1"/>
      <c r="O730" s="1"/>
      <c r="Q730" s="1"/>
      <c r="R730" s="2"/>
      <c r="S730" s="1"/>
      <c r="T730" s="1"/>
      <c r="V730" s="1"/>
      <c r="W730" s="1"/>
      <c r="AJ730" s="1"/>
    </row>
    <row r="731" ht="14.25" customHeight="1" spans="1:36" x14ac:dyDescent="0.25">
      <c r="A731" s="1"/>
      <c r="B731" s="1"/>
      <c r="C731" s="1"/>
      <c r="D731" s="1"/>
      <c r="E731" s="1"/>
      <c r="F731" s="1"/>
      <c r="G731" s="1"/>
      <c r="H731" s="1"/>
      <c r="I731" s="1"/>
      <c r="J731" s="1"/>
      <c r="K731" s="1"/>
      <c r="L731" s="1"/>
      <c r="M731" s="1"/>
      <c r="N731" s="1"/>
      <c r="O731" s="1"/>
      <c r="Q731" s="1"/>
      <c r="R731" s="2"/>
      <c r="S731" s="1"/>
      <c r="T731" s="1"/>
      <c r="V731" s="1"/>
      <c r="W731" s="1"/>
      <c r="AJ731" s="1"/>
    </row>
    <row r="732" ht="14.25" customHeight="1" spans="1:36" x14ac:dyDescent="0.25">
      <c r="A732" s="1"/>
      <c r="B732" s="1"/>
      <c r="C732" s="1"/>
      <c r="D732" s="1"/>
      <c r="E732" s="1"/>
      <c r="F732" s="1"/>
      <c r="G732" s="1"/>
      <c r="H732" s="1"/>
      <c r="I732" s="1"/>
      <c r="J732" s="1"/>
      <c r="K732" s="1"/>
      <c r="L732" s="1"/>
      <c r="M732" s="1"/>
      <c r="N732" s="1"/>
      <c r="O732" s="1"/>
      <c r="Q732" s="1"/>
      <c r="R732" s="2"/>
      <c r="S732" s="1"/>
      <c r="T732" s="1"/>
      <c r="V732" s="1"/>
      <c r="W732" s="1"/>
      <c r="AJ732" s="1"/>
    </row>
    <row r="733" ht="14.25" customHeight="1" spans="1:36" x14ac:dyDescent="0.25">
      <c r="A733" s="1"/>
      <c r="B733" s="1"/>
      <c r="C733" s="1"/>
      <c r="D733" s="1"/>
      <c r="E733" s="1"/>
      <c r="F733" s="1"/>
      <c r="G733" s="1"/>
      <c r="H733" s="1"/>
      <c r="I733" s="1"/>
      <c r="J733" s="1"/>
      <c r="K733" s="1"/>
      <c r="L733" s="1"/>
      <c r="M733" s="1"/>
      <c r="N733" s="1"/>
      <c r="O733" s="1"/>
      <c r="Q733" s="1"/>
      <c r="R733" s="2"/>
      <c r="S733" s="1"/>
      <c r="T733" s="1"/>
      <c r="V733" s="1"/>
      <c r="W733" s="1"/>
      <c r="AJ733" s="1"/>
    </row>
    <row r="734" ht="14.25" customHeight="1" spans="1:36" x14ac:dyDescent="0.25">
      <c r="A734" s="1"/>
      <c r="B734" s="1"/>
      <c r="C734" s="1"/>
      <c r="D734" s="1"/>
      <c r="E734" s="1"/>
      <c r="F734" s="1"/>
      <c r="G734" s="1"/>
      <c r="H734" s="1"/>
      <c r="I734" s="1"/>
      <c r="J734" s="1"/>
      <c r="K734" s="1"/>
      <c r="L734" s="1"/>
      <c r="M734" s="1"/>
      <c r="N734" s="1"/>
      <c r="O734" s="1"/>
      <c r="Q734" s="1"/>
      <c r="R734" s="2"/>
      <c r="S734" s="1"/>
      <c r="T734" s="1"/>
      <c r="V734" s="1"/>
      <c r="W734" s="1"/>
      <c r="AJ734" s="1"/>
    </row>
    <row r="735" ht="14.25" customHeight="1" spans="1:36" x14ac:dyDescent="0.25">
      <c r="A735" s="1"/>
      <c r="B735" s="1"/>
      <c r="C735" s="1"/>
      <c r="D735" s="1"/>
      <c r="E735" s="1"/>
      <c r="F735" s="1"/>
      <c r="G735" s="1"/>
      <c r="H735" s="1"/>
      <c r="I735" s="1"/>
      <c r="J735" s="1"/>
      <c r="K735" s="1"/>
      <c r="L735" s="1"/>
      <c r="M735" s="1"/>
      <c r="N735" s="1"/>
      <c r="O735" s="1"/>
      <c r="Q735" s="1"/>
      <c r="R735" s="2"/>
      <c r="S735" s="1"/>
      <c r="T735" s="1"/>
      <c r="V735" s="1"/>
      <c r="W735" s="1"/>
      <c r="AJ735" s="1"/>
    </row>
    <row r="736" ht="14.25" customHeight="1" spans="1:36" x14ac:dyDescent="0.25">
      <c r="A736" s="1"/>
      <c r="B736" s="1"/>
      <c r="C736" s="1"/>
      <c r="D736" s="1"/>
      <c r="E736" s="1"/>
      <c r="F736" s="1"/>
      <c r="G736" s="1"/>
      <c r="H736" s="1"/>
      <c r="I736" s="1"/>
      <c r="J736" s="1"/>
      <c r="K736" s="1"/>
      <c r="L736" s="1"/>
      <c r="M736" s="1"/>
      <c r="N736" s="1"/>
      <c r="O736" s="1"/>
      <c r="Q736" s="1"/>
      <c r="R736" s="2"/>
      <c r="S736" s="1"/>
      <c r="T736" s="1"/>
      <c r="V736" s="1"/>
      <c r="W736" s="1"/>
      <c r="AJ736" s="1"/>
    </row>
    <row r="737" ht="14.25" customHeight="1" spans="1:36" x14ac:dyDescent="0.25">
      <c r="A737" s="1"/>
      <c r="B737" s="1"/>
      <c r="C737" s="1"/>
      <c r="D737" s="1"/>
      <c r="E737" s="1"/>
      <c r="F737" s="1"/>
      <c r="G737" s="1"/>
      <c r="H737" s="1"/>
      <c r="I737" s="1"/>
      <c r="J737" s="1"/>
      <c r="K737" s="1"/>
      <c r="L737" s="1"/>
      <c r="M737" s="1"/>
      <c r="N737" s="1"/>
      <c r="O737" s="1"/>
      <c r="Q737" s="1"/>
      <c r="R737" s="2"/>
      <c r="S737" s="1"/>
      <c r="T737" s="1"/>
      <c r="V737" s="1"/>
      <c r="W737" s="1"/>
      <c r="AJ737" s="1"/>
    </row>
    <row r="738" ht="14.25" customHeight="1" spans="1:36" x14ac:dyDescent="0.25">
      <c r="A738" s="1"/>
      <c r="B738" s="1"/>
      <c r="C738" s="1"/>
      <c r="D738" s="1"/>
      <c r="E738" s="1"/>
      <c r="F738" s="1"/>
      <c r="G738" s="1"/>
      <c r="H738" s="1"/>
      <c r="I738" s="1"/>
      <c r="J738" s="1"/>
      <c r="K738" s="1"/>
      <c r="L738" s="1"/>
      <c r="M738" s="1"/>
      <c r="N738" s="1"/>
      <c r="O738" s="1"/>
      <c r="Q738" s="1"/>
      <c r="R738" s="2"/>
      <c r="S738" s="1"/>
      <c r="T738" s="1"/>
      <c r="V738" s="1"/>
      <c r="W738" s="1"/>
      <c r="AJ738" s="1"/>
    </row>
    <row r="739" ht="14.25" customHeight="1" spans="1:36" x14ac:dyDescent="0.25">
      <c r="A739" s="1"/>
      <c r="B739" s="1"/>
      <c r="C739" s="1"/>
      <c r="D739" s="1"/>
      <c r="E739" s="1"/>
      <c r="F739" s="1"/>
      <c r="G739" s="1"/>
      <c r="H739" s="1"/>
      <c r="I739" s="1"/>
      <c r="J739" s="1"/>
      <c r="K739" s="1"/>
      <c r="L739" s="1"/>
      <c r="M739" s="1"/>
      <c r="N739" s="1"/>
      <c r="O739" s="1"/>
      <c r="Q739" s="1"/>
      <c r="R739" s="2"/>
      <c r="S739" s="1"/>
      <c r="T739" s="1"/>
      <c r="V739" s="1"/>
      <c r="W739" s="1"/>
      <c r="AJ739" s="1"/>
    </row>
    <row r="740" ht="14.25" customHeight="1" spans="1:36" x14ac:dyDescent="0.25">
      <c r="A740" s="1"/>
      <c r="B740" s="1"/>
      <c r="C740" s="1"/>
      <c r="D740" s="1"/>
      <c r="E740" s="1"/>
      <c r="F740" s="1"/>
      <c r="G740" s="1"/>
      <c r="H740" s="1"/>
      <c r="I740" s="1"/>
      <c r="J740" s="1"/>
      <c r="K740" s="1"/>
      <c r="L740" s="1"/>
      <c r="M740" s="1"/>
      <c r="N740" s="1"/>
      <c r="O740" s="1"/>
      <c r="Q740" s="1"/>
      <c r="R740" s="2"/>
      <c r="S740" s="1"/>
      <c r="T740" s="1"/>
      <c r="V740" s="1"/>
      <c r="W740" s="1"/>
      <c r="AJ740" s="1"/>
    </row>
    <row r="741" ht="14.25" customHeight="1" spans="1:36" x14ac:dyDescent="0.25">
      <c r="A741" s="1"/>
      <c r="B741" s="1"/>
      <c r="C741" s="1"/>
      <c r="D741" s="1"/>
      <c r="E741" s="1"/>
      <c r="F741" s="1"/>
      <c r="G741" s="1"/>
      <c r="H741" s="1"/>
      <c r="I741" s="1"/>
      <c r="J741" s="1"/>
      <c r="K741" s="1"/>
      <c r="L741" s="1"/>
      <c r="M741" s="1"/>
      <c r="N741" s="1"/>
      <c r="O741" s="1"/>
      <c r="Q741" s="1"/>
      <c r="R741" s="2"/>
      <c r="S741" s="1"/>
      <c r="T741" s="1"/>
      <c r="V741" s="1"/>
      <c r="W741" s="1"/>
      <c r="AJ741" s="1"/>
    </row>
    <row r="742" ht="14.25" customHeight="1" spans="1:36" x14ac:dyDescent="0.25">
      <c r="A742" s="1"/>
      <c r="B742" s="1"/>
      <c r="C742" s="1"/>
      <c r="D742" s="1"/>
      <c r="E742" s="1"/>
      <c r="F742" s="1"/>
      <c r="G742" s="1"/>
      <c r="H742" s="1"/>
      <c r="I742" s="1"/>
      <c r="J742" s="1"/>
      <c r="K742" s="1"/>
      <c r="L742" s="1"/>
      <c r="M742" s="1"/>
      <c r="N742" s="1"/>
      <c r="O742" s="1"/>
      <c r="Q742" s="1"/>
      <c r="R742" s="2"/>
      <c r="S742" s="1"/>
      <c r="T742" s="1"/>
      <c r="V742" s="1"/>
      <c r="W742" s="1"/>
      <c r="AJ742" s="1"/>
    </row>
    <row r="743" ht="14.25" customHeight="1" spans="1:36" x14ac:dyDescent="0.25">
      <c r="A743" s="1"/>
      <c r="B743" s="1"/>
      <c r="C743" s="1"/>
      <c r="D743" s="1"/>
      <c r="E743" s="1"/>
      <c r="F743" s="1"/>
      <c r="G743" s="1"/>
      <c r="H743" s="1"/>
      <c r="I743" s="1"/>
      <c r="J743" s="1"/>
      <c r="K743" s="1"/>
      <c r="L743" s="1"/>
      <c r="M743" s="1"/>
      <c r="N743" s="1"/>
      <c r="O743" s="1"/>
      <c r="Q743" s="1"/>
      <c r="R743" s="2"/>
      <c r="S743" s="1"/>
      <c r="T743" s="1"/>
      <c r="V743" s="1"/>
      <c r="W743" s="1"/>
      <c r="AJ743" s="1"/>
    </row>
    <row r="744" ht="14.25" customHeight="1" spans="1:36" x14ac:dyDescent="0.25">
      <c r="A744" s="1"/>
      <c r="B744" s="1"/>
      <c r="C744" s="1"/>
      <c r="D744" s="1"/>
      <c r="E744" s="1"/>
      <c r="F744" s="1"/>
      <c r="G744" s="1"/>
      <c r="H744" s="1"/>
      <c r="I744" s="1"/>
      <c r="J744" s="1"/>
      <c r="K744" s="1"/>
      <c r="L744" s="1"/>
      <c r="M744" s="1"/>
      <c r="N744" s="1"/>
      <c r="O744" s="1"/>
      <c r="Q744" s="1"/>
      <c r="R744" s="2"/>
      <c r="S744" s="1"/>
      <c r="T744" s="1"/>
      <c r="V744" s="1"/>
      <c r="W744" s="1"/>
      <c r="AJ744" s="1"/>
    </row>
    <row r="745" ht="14.25" customHeight="1" spans="1:36" x14ac:dyDescent="0.25">
      <c r="A745" s="1"/>
      <c r="B745" s="1"/>
      <c r="C745" s="1"/>
      <c r="D745" s="1"/>
      <c r="E745" s="1"/>
      <c r="F745" s="1"/>
      <c r="G745" s="1"/>
      <c r="H745" s="1"/>
      <c r="I745" s="1"/>
      <c r="J745" s="1"/>
      <c r="K745" s="1"/>
      <c r="L745" s="1"/>
      <c r="M745" s="1"/>
      <c r="N745" s="1"/>
      <c r="O745" s="1"/>
      <c r="Q745" s="1"/>
      <c r="R745" s="2"/>
      <c r="S745" s="1"/>
      <c r="T745" s="1"/>
      <c r="V745" s="1"/>
      <c r="W745" s="1"/>
      <c r="AJ745" s="1"/>
    </row>
    <row r="746" ht="14.25" customHeight="1" spans="1:36" x14ac:dyDescent="0.25">
      <c r="A746" s="1"/>
      <c r="B746" s="1"/>
      <c r="C746" s="1"/>
      <c r="D746" s="1"/>
      <c r="E746" s="1"/>
      <c r="F746" s="1"/>
      <c r="G746" s="1"/>
      <c r="H746" s="1"/>
      <c r="I746" s="1"/>
      <c r="J746" s="1"/>
      <c r="K746" s="1"/>
      <c r="L746" s="1"/>
      <c r="M746" s="1"/>
      <c r="N746" s="1"/>
      <c r="O746" s="1"/>
      <c r="Q746" s="1"/>
      <c r="R746" s="2"/>
      <c r="S746" s="1"/>
      <c r="T746" s="1"/>
      <c r="V746" s="1"/>
      <c r="W746" s="1"/>
      <c r="AJ746" s="1"/>
    </row>
    <row r="747" ht="14.25" customHeight="1" spans="1:36" x14ac:dyDescent="0.25">
      <c r="A747" s="1"/>
      <c r="B747" s="1"/>
      <c r="C747" s="1"/>
      <c r="D747" s="1"/>
      <c r="E747" s="1"/>
      <c r="F747" s="1"/>
      <c r="G747" s="1"/>
      <c r="H747" s="1"/>
      <c r="I747" s="1"/>
      <c r="J747" s="1"/>
      <c r="K747" s="1"/>
      <c r="L747" s="1"/>
      <c r="M747" s="1"/>
      <c r="N747" s="1"/>
      <c r="O747" s="1"/>
      <c r="Q747" s="1"/>
      <c r="R747" s="2"/>
      <c r="S747" s="1"/>
      <c r="T747" s="1"/>
      <c r="V747" s="1"/>
      <c r="W747" s="1"/>
      <c r="AJ747" s="1"/>
    </row>
    <row r="748" ht="14.25" customHeight="1" spans="1:36" x14ac:dyDescent="0.25">
      <c r="A748" s="1"/>
      <c r="B748" s="1"/>
      <c r="C748" s="1"/>
      <c r="D748" s="1"/>
      <c r="E748" s="1"/>
      <c r="F748" s="1"/>
      <c r="G748" s="1"/>
      <c r="H748" s="1"/>
      <c r="I748" s="1"/>
      <c r="J748" s="1"/>
      <c r="K748" s="1"/>
      <c r="L748" s="1"/>
      <c r="M748" s="1"/>
      <c r="N748" s="1"/>
      <c r="O748" s="1"/>
      <c r="Q748" s="1"/>
      <c r="R748" s="2"/>
      <c r="S748" s="1"/>
      <c r="T748" s="1"/>
      <c r="V748" s="1"/>
      <c r="W748" s="1"/>
      <c r="AJ748" s="1"/>
    </row>
    <row r="749" ht="14.25" customHeight="1" spans="1:36" x14ac:dyDescent="0.25">
      <c r="A749" s="1"/>
      <c r="B749" s="1"/>
      <c r="C749" s="1"/>
      <c r="D749" s="1"/>
      <c r="E749" s="1"/>
      <c r="F749" s="1"/>
      <c r="G749" s="1"/>
      <c r="H749" s="1"/>
      <c r="I749" s="1"/>
      <c r="J749" s="1"/>
      <c r="K749" s="1"/>
      <c r="L749" s="1"/>
      <c r="M749" s="1"/>
      <c r="N749" s="1"/>
      <c r="O749" s="1"/>
      <c r="Q749" s="1"/>
      <c r="R749" s="2"/>
      <c r="S749" s="1"/>
      <c r="T749" s="1"/>
      <c r="V749" s="1"/>
      <c r="W749" s="1"/>
      <c r="AJ749" s="1"/>
    </row>
    <row r="750" ht="14.25" customHeight="1" spans="1:36" x14ac:dyDescent="0.25">
      <c r="A750" s="1"/>
      <c r="B750" s="1"/>
      <c r="C750" s="1"/>
      <c r="D750" s="1"/>
      <c r="E750" s="1"/>
      <c r="F750" s="1"/>
      <c r="G750" s="1"/>
      <c r="H750" s="1"/>
      <c r="I750" s="1"/>
      <c r="J750" s="1"/>
      <c r="K750" s="1"/>
      <c r="L750" s="1"/>
      <c r="M750" s="1"/>
      <c r="N750" s="1"/>
      <c r="O750" s="1"/>
      <c r="Q750" s="1"/>
      <c r="R750" s="2"/>
      <c r="S750" s="1"/>
      <c r="T750" s="1"/>
      <c r="V750" s="1"/>
      <c r="W750" s="1"/>
      <c r="AJ750" s="1"/>
    </row>
    <row r="751" ht="14.25" customHeight="1" spans="1:36" x14ac:dyDescent="0.25">
      <c r="A751" s="1"/>
      <c r="B751" s="1"/>
      <c r="C751" s="1"/>
      <c r="D751" s="1"/>
      <c r="E751" s="1"/>
      <c r="F751" s="1"/>
      <c r="G751" s="1"/>
      <c r="H751" s="1"/>
      <c r="I751" s="1"/>
      <c r="J751" s="1"/>
      <c r="K751" s="1"/>
      <c r="L751" s="1"/>
      <c r="M751" s="1"/>
      <c r="N751" s="1"/>
      <c r="O751" s="1"/>
      <c r="Q751" s="1"/>
      <c r="R751" s="2"/>
      <c r="S751" s="1"/>
      <c r="T751" s="1"/>
      <c r="V751" s="1"/>
      <c r="W751" s="1"/>
      <c r="AJ751" s="1"/>
    </row>
    <row r="752" ht="14.25" customHeight="1" spans="1:36" x14ac:dyDescent="0.25">
      <c r="A752" s="1"/>
      <c r="B752" s="1"/>
      <c r="C752" s="1"/>
      <c r="D752" s="1"/>
      <c r="E752" s="1"/>
      <c r="F752" s="1"/>
      <c r="G752" s="1"/>
      <c r="H752" s="1"/>
      <c r="I752" s="1"/>
      <c r="J752" s="1"/>
      <c r="K752" s="1"/>
      <c r="L752" s="1"/>
      <c r="M752" s="1"/>
      <c r="N752" s="1"/>
      <c r="O752" s="1"/>
      <c r="Q752" s="1"/>
      <c r="R752" s="2"/>
      <c r="S752" s="1"/>
      <c r="T752" s="1"/>
      <c r="V752" s="1"/>
      <c r="W752" s="1"/>
      <c r="AJ752" s="1"/>
    </row>
    <row r="753" ht="14.25" customHeight="1" spans="1:36" x14ac:dyDescent="0.25">
      <c r="A753" s="1"/>
      <c r="B753" s="1"/>
      <c r="C753" s="1"/>
      <c r="D753" s="1"/>
      <c r="E753" s="1"/>
      <c r="F753" s="1"/>
      <c r="G753" s="1"/>
      <c r="H753" s="1"/>
      <c r="I753" s="1"/>
      <c r="J753" s="1"/>
      <c r="K753" s="1"/>
      <c r="L753" s="1"/>
      <c r="M753" s="1"/>
      <c r="N753" s="1"/>
      <c r="O753" s="1"/>
      <c r="Q753" s="1"/>
      <c r="R753" s="2"/>
      <c r="S753" s="1"/>
      <c r="T753" s="1"/>
      <c r="V753" s="1"/>
      <c r="W753" s="1"/>
      <c r="AJ753" s="1"/>
    </row>
    <row r="754" ht="14.25" customHeight="1" spans="1:36" x14ac:dyDescent="0.25">
      <c r="A754" s="1"/>
      <c r="B754" s="1"/>
      <c r="C754" s="1"/>
      <c r="D754" s="1"/>
      <c r="E754" s="1"/>
      <c r="F754" s="1"/>
      <c r="G754" s="1"/>
      <c r="H754" s="1"/>
      <c r="I754" s="1"/>
      <c r="J754" s="1"/>
      <c r="K754" s="1"/>
      <c r="L754" s="1"/>
      <c r="M754" s="1"/>
      <c r="N754" s="1"/>
      <c r="O754" s="1"/>
      <c r="Q754" s="1"/>
      <c r="R754" s="2"/>
      <c r="S754" s="1"/>
      <c r="T754" s="1"/>
      <c r="V754" s="1"/>
      <c r="W754" s="1"/>
      <c r="AJ754" s="1"/>
    </row>
    <row r="755" ht="14.25" customHeight="1" spans="1:36" x14ac:dyDescent="0.25">
      <c r="A755" s="1"/>
      <c r="B755" s="1"/>
      <c r="C755" s="1"/>
      <c r="D755" s="1"/>
      <c r="E755" s="1"/>
      <c r="F755" s="1"/>
      <c r="G755" s="1"/>
      <c r="H755" s="1"/>
      <c r="I755" s="1"/>
      <c r="J755" s="1"/>
      <c r="K755" s="1"/>
      <c r="L755" s="1"/>
      <c r="M755" s="1"/>
      <c r="N755" s="1"/>
      <c r="O755" s="1"/>
      <c r="Q755" s="1"/>
      <c r="R755" s="2"/>
      <c r="S755" s="1"/>
      <c r="T755" s="1"/>
      <c r="V755" s="1"/>
      <c r="W755" s="1"/>
      <c r="AJ755" s="1"/>
    </row>
    <row r="756" ht="14.25" customHeight="1" spans="1:36" x14ac:dyDescent="0.25">
      <c r="A756" s="1"/>
      <c r="B756" s="1"/>
      <c r="C756" s="1"/>
      <c r="D756" s="1"/>
      <c r="E756" s="1"/>
      <c r="F756" s="1"/>
      <c r="G756" s="1"/>
      <c r="H756" s="1"/>
      <c r="I756" s="1"/>
      <c r="J756" s="1"/>
      <c r="K756" s="1"/>
      <c r="L756" s="1"/>
      <c r="M756" s="1"/>
      <c r="N756" s="1"/>
      <c r="O756" s="1"/>
      <c r="Q756" s="1"/>
      <c r="R756" s="2"/>
      <c r="S756" s="1"/>
      <c r="T756" s="1"/>
      <c r="V756" s="1"/>
      <c r="W756" s="1"/>
      <c r="AJ756" s="1"/>
    </row>
    <row r="757" ht="14.25" customHeight="1" spans="1:36" x14ac:dyDescent="0.25">
      <c r="A757" s="1"/>
      <c r="B757" s="1"/>
      <c r="C757" s="1"/>
      <c r="D757" s="1"/>
      <c r="E757" s="1"/>
      <c r="F757" s="1"/>
      <c r="G757" s="1"/>
      <c r="H757" s="1"/>
      <c r="I757" s="1"/>
      <c r="J757" s="1"/>
      <c r="K757" s="1"/>
      <c r="L757" s="1"/>
      <c r="M757" s="1"/>
      <c r="N757" s="1"/>
      <c r="O757" s="1"/>
      <c r="Q757" s="1"/>
      <c r="R757" s="2"/>
      <c r="S757" s="1"/>
      <c r="T757" s="1"/>
      <c r="V757" s="1"/>
      <c r="W757" s="1"/>
      <c r="AJ757" s="1"/>
    </row>
    <row r="758" ht="14.25" customHeight="1" spans="1:36" x14ac:dyDescent="0.25">
      <c r="A758" s="1"/>
      <c r="B758" s="1"/>
      <c r="C758" s="1"/>
      <c r="D758" s="1"/>
      <c r="E758" s="1"/>
      <c r="F758" s="1"/>
      <c r="G758" s="1"/>
      <c r="H758" s="1"/>
      <c r="I758" s="1"/>
      <c r="J758" s="1"/>
      <c r="K758" s="1"/>
      <c r="L758" s="1"/>
      <c r="M758" s="1"/>
      <c r="N758" s="1"/>
      <c r="O758" s="1"/>
      <c r="Q758" s="1"/>
      <c r="R758" s="2"/>
      <c r="S758" s="1"/>
      <c r="T758" s="1"/>
      <c r="V758" s="1"/>
      <c r="W758" s="1"/>
      <c r="AJ758" s="1"/>
    </row>
    <row r="759" ht="14.25" customHeight="1" spans="1:36" x14ac:dyDescent="0.25">
      <c r="A759" s="1"/>
      <c r="B759" s="1"/>
      <c r="C759" s="1"/>
      <c r="D759" s="1"/>
      <c r="E759" s="1"/>
      <c r="F759" s="1"/>
      <c r="G759" s="1"/>
      <c r="H759" s="1"/>
      <c r="I759" s="1"/>
      <c r="J759" s="1"/>
      <c r="K759" s="1"/>
      <c r="L759" s="1"/>
      <c r="M759" s="1"/>
      <c r="N759" s="1"/>
      <c r="O759" s="1"/>
      <c r="Q759" s="1"/>
      <c r="R759" s="2"/>
      <c r="S759" s="1"/>
      <c r="T759" s="1"/>
      <c r="V759" s="1"/>
      <c r="W759" s="1"/>
      <c r="AJ759" s="1"/>
    </row>
    <row r="760" ht="14.25" customHeight="1" spans="1:36" x14ac:dyDescent="0.25">
      <c r="A760" s="1"/>
      <c r="B760" s="1"/>
      <c r="C760" s="1"/>
      <c r="D760" s="1"/>
      <c r="E760" s="1"/>
      <c r="F760" s="1"/>
      <c r="G760" s="1"/>
      <c r="H760" s="1"/>
      <c r="I760" s="1"/>
      <c r="J760" s="1"/>
      <c r="K760" s="1"/>
      <c r="L760" s="1"/>
      <c r="M760" s="1"/>
      <c r="N760" s="1"/>
      <c r="O760" s="1"/>
      <c r="Q760" s="1"/>
      <c r="R760" s="2"/>
      <c r="S760" s="1"/>
      <c r="T760" s="1"/>
      <c r="V760" s="1"/>
      <c r="W760" s="1"/>
      <c r="AJ760" s="1"/>
    </row>
    <row r="761" ht="14.25" customHeight="1" spans="1:36" x14ac:dyDescent="0.25">
      <c r="A761" s="1"/>
      <c r="B761" s="1"/>
      <c r="C761" s="1"/>
      <c r="D761" s="1"/>
      <c r="E761" s="1"/>
      <c r="F761" s="1"/>
      <c r="G761" s="1"/>
      <c r="H761" s="1"/>
      <c r="I761" s="1"/>
      <c r="J761" s="1"/>
      <c r="K761" s="1"/>
      <c r="L761" s="1"/>
      <c r="M761" s="1"/>
      <c r="N761" s="1"/>
      <c r="O761" s="1"/>
      <c r="Q761" s="1"/>
      <c r="R761" s="2"/>
      <c r="S761" s="1"/>
      <c r="T761" s="1"/>
      <c r="V761" s="1"/>
      <c r="W761" s="1"/>
      <c r="AJ761" s="1"/>
    </row>
    <row r="762" ht="14.25" customHeight="1" spans="1:36" x14ac:dyDescent="0.25">
      <c r="A762" s="1"/>
      <c r="B762" s="1"/>
      <c r="C762" s="1"/>
      <c r="D762" s="1"/>
      <c r="E762" s="1"/>
      <c r="F762" s="1"/>
      <c r="G762" s="1"/>
      <c r="H762" s="1"/>
      <c r="I762" s="1"/>
      <c r="J762" s="1"/>
      <c r="K762" s="1"/>
      <c r="L762" s="1"/>
      <c r="M762" s="1"/>
      <c r="N762" s="1"/>
      <c r="O762" s="1"/>
      <c r="Q762" s="1"/>
      <c r="R762" s="2"/>
      <c r="S762" s="1"/>
      <c r="T762" s="1"/>
      <c r="V762" s="1"/>
      <c r="W762" s="1"/>
      <c r="AJ762" s="1"/>
    </row>
    <row r="763" ht="14.25" customHeight="1" spans="1:36" x14ac:dyDescent="0.25">
      <c r="A763" s="1"/>
      <c r="B763" s="1"/>
      <c r="C763" s="1"/>
      <c r="D763" s="1"/>
      <c r="E763" s="1"/>
      <c r="F763" s="1"/>
      <c r="G763" s="1"/>
      <c r="H763" s="1"/>
      <c r="I763" s="1"/>
      <c r="J763" s="1"/>
      <c r="K763" s="1"/>
      <c r="L763" s="1"/>
      <c r="M763" s="1"/>
      <c r="N763" s="1"/>
      <c r="O763" s="1"/>
      <c r="Q763" s="1"/>
      <c r="R763" s="2"/>
      <c r="S763" s="1"/>
      <c r="T763" s="1"/>
      <c r="V763" s="1"/>
      <c r="W763" s="1"/>
      <c r="AJ763" s="1"/>
    </row>
    <row r="764" ht="14.25" customHeight="1" spans="1:36" x14ac:dyDescent="0.25">
      <c r="A764" s="1"/>
      <c r="B764" s="1"/>
      <c r="C764" s="1"/>
      <c r="D764" s="1"/>
      <c r="E764" s="1"/>
      <c r="F764" s="1"/>
      <c r="G764" s="1"/>
      <c r="H764" s="1"/>
      <c r="I764" s="1"/>
      <c r="J764" s="1"/>
      <c r="K764" s="1"/>
      <c r="L764" s="1"/>
      <c r="M764" s="1"/>
      <c r="N764" s="1"/>
      <c r="O764" s="1"/>
      <c r="Q764" s="1"/>
      <c r="R764" s="2"/>
      <c r="S764" s="1"/>
      <c r="T764" s="1"/>
      <c r="V764" s="1"/>
      <c r="W764" s="1"/>
      <c r="AJ764" s="1"/>
    </row>
    <row r="765" ht="14.25" customHeight="1" spans="1:36" x14ac:dyDescent="0.25">
      <c r="A765" s="1"/>
      <c r="B765" s="1"/>
      <c r="C765" s="1"/>
      <c r="D765" s="1"/>
      <c r="E765" s="1"/>
      <c r="F765" s="1"/>
      <c r="G765" s="1"/>
      <c r="H765" s="1"/>
      <c r="I765" s="1"/>
      <c r="J765" s="1"/>
      <c r="K765" s="1"/>
      <c r="L765" s="1"/>
      <c r="M765" s="1"/>
      <c r="N765" s="1"/>
      <c r="O765" s="1"/>
      <c r="Q765" s="1"/>
      <c r="R765" s="2"/>
      <c r="S765" s="1"/>
      <c r="T765" s="1"/>
      <c r="V765" s="1"/>
      <c r="W765" s="1"/>
      <c r="AJ765" s="1"/>
    </row>
    <row r="766" ht="14.25" customHeight="1" spans="1:36" x14ac:dyDescent="0.25">
      <c r="A766" s="1"/>
      <c r="B766" s="1"/>
      <c r="C766" s="1"/>
      <c r="D766" s="1"/>
      <c r="E766" s="1"/>
      <c r="F766" s="1"/>
      <c r="G766" s="1"/>
      <c r="H766" s="1"/>
      <c r="I766" s="1"/>
      <c r="J766" s="1"/>
      <c r="K766" s="1"/>
      <c r="L766" s="1"/>
      <c r="M766" s="1"/>
      <c r="N766" s="1"/>
      <c r="O766" s="1"/>
      <c r="Q766" s="1"/>
      <c r="R766" s="2"/>
      <c r="S766" s="1"/>
      <c r="T766" s="1"/>
      <c r="V766" s="1"/>
      <c r="W766" s="1"/>
      <c r="AJ766" s="1"/>
    </row>
    <row r="767" ht="14.25" customHeight="1" spans="1:36" x14ac:dyDescent="0.25">
      <c r="A767" s="1"/>
      <c r="B767" s="1"/>
      <c r="C767" s="1"/>
      <c r="D767" s="1"/>
      <c r="E767" s="1"/>
      <c r="F767" s="1"/>
      <c r="G767" s="1"/>
      <c r="H767" s="1"/>
      <c r="I767" s="1"/>
      <c r="J767" s="1"/>
      <c r="K767" s="1"/>
      <c r="L767" s="1"/>
      <c r="M767" s="1"/>
      <c r="N767" s="1"/>
      <c r="O767" s="1"/>
      <c r="Q767" s="1"/>
      <c r="R767" s="2"/>
      <c r="S767" s="1"/>
      <c r="T767" s="1"/>
      <c r="V767" s="1"/>
      <c r="W767" s="1"/>
      <c r="AJ767" s="1"/>
    </row>
    <row r="768" ht="14.25" customHeight="1" spans="1:36" x14ac:dyDescent="0.25">
      <c r="A768" s="1"/>
      <c r="B768" s="1"/>
      <c r="C768" s="1"/>
      <c r="D768" s="1"/>
      <c r="E768" s="1"/>
      <c r="F768" s="1"/>
      <c r="G768" s="1"/>
      <c r="H768" s="1"/>
      <c r="I768" s="1"/>
      <c r="J768" s="1"/>
      <c r="K768" s="1"/>
      <c r="L768" s="1"/>
      <c r="M768" s="1"/>
      <c r="N768" s="1"/>
      <c r="O768" s="1"/>
      <c r="Q768" s="1"/>
      <c r="R768" s="2"/>
      <c r="S768" s="1"/>
      <c r="T768" s="1"/>
      <c r="V768" s="1"/>
      <c r="W768" s="1"/>
      <c r="AJ768" s="1"/>
    </row>
    <row r="769" ht="14.25" customHeight="1" spans="1:36" x14ac:dyDescent="0.25">
      <c r="A769" s="1"/>
      <c r="B769" s="1"/>
      <c r="C769" s="1"/>
      <c r="D769" s="1"/>
      <c r="E769" s="1"/>
      <c r="F769" s="1"/>
      <c r="G769" s="1"/>
      <c r="H769" s="1"/>
      <c r="I769" s="1"/>
      <c r="J769" s="1"/>
      <c r="K769" s="1"/>
      <c r="L769" s="1"/>
      <c r="M769" s="1"/>
      <c r="N769" s="1"/>
      <c r="O769" s="1"/>
      <c r="Q769" s="1"/>
      <c r="R769" s="2"/>
      <c r="S769" s="1"/>
      <c r="T769" s="1"/>
      <c r="V769" s="1"/>
      <c r="W769" s="1"/>
      <c r="AJ769" s="1"/>
    </row>
    <row r="770" ht="14.25" customHeight="1" spans="1:36" x14ac:dyDescent="0.25">
      <c r="A770" s="1"/>
      <c r="B770" s="1"/>
      <c r="C770" s="1"/>
      <c r="D770" s="1"/>
      <c r="E770" s="1"/>
      <c r="F770" s="1"/>
      <c r="G770" s="1"/>
      <c r="H770" s="1"/>
      <c r="I770" s="1"/>
      <c r="J770" s="1"/>
      <c r="K770" s="1"/>
      <c r="L770" s="1"/>
      <c r="M770" s="1"/>
      <c r="N770" s="1"/>
      <c r="O770" s="1"/>
      <c r="Q770" s="1"/>
      <c r="R770" s="2"/>
      <c r="S770" s="1"/>
      <c r="T770" s="1"/>
      <c r="V770" s="1"/>
      <c r="W770" s="1"/>
      <c r="AJ770" s="1"/>
    </row>
    <row r="771" ht="14.25" customHeight="1" spans="1:36" x14ac:dyDescent="0.25">
      <c r="A771" s="1"/>
      <c r="B771" s="1"/>
      <c r="C771" s="1"/>
      <c r="D771" s="1"/>
      <c r="E771" s="1"/>
      <c r="F771" s="1"/>
      <c r="G771" s="1"/>
      <c r="H771" s="1"/>
      <c r="I771" s="1"/>
      <c r="J771" s="1"/>
      <c r="K771" s="1"/>
      <c r="L771" s="1"/>
      <c r="M771" s="1"/>
      <c r="N771" s="1"/>
      <c r="O771" s="1"/>
      <c r="Q771" s="1"/>
      <c r="R771" s="2"/>
      <c r="S771" s="1"/>
      <c r="T771" s="1"/>
      <c r="V771" s="1"/>
      <c r="W771" s="1"/>
      <c r="AJ771" s="1"/>
    </row>
    <row r="772" ht="14.25" customHeight="1" spans="1:36" x14ac:dyDescent="0.25">
      <c r="A772" s="1"/>
      <c r="B772" s="1"/>
      <c r="C772" s="1"/>
      <c r="D772" s="1"/>
      <c r="E772" s="1"/>
      <c r="F772" s="1"/>
      <c r="G772" s="1"/>
      <c r="H772" s="1"/>
      <c r="I772" s="1"/>
      <c r="J772" s="1"/>
      <c r="K772" s="1"/>
      <c r="L772" s="1"/>
      <c r="M772" s="1"/>
      <c r="N772" s="1"/>
      <c r="O772" s="1"/>
      <c r="Q772" s="1"/>
      <c r="R772" s="2"/>
      <c r="S772" s="1"/>
      <c r="T772" s="1"/>
      <c r="V772" s="1"/>
      <c r="W772" s="1"/>
      <c r="AJ772" s="1"/>
    </row>
    <row r="773" ht="14.25" customHeight="1" spans="1:36" x14ac:dyDescent="0.25">
      <c r="A773" s="1"/>
      <c r="B773" s="1"/>
      <c r="C773" s="1"/>
      <c r="D773" s="1"/>
      <c r="E773" s="1"/>
      <c r="F773" s="1"/>
      <c r="G773" s="1"/>
      <c r="H773" s="1"/>
      <c r="I773" s="1"/>
      <c r="J773" s="1"/>
      <c r="K773" s="1"/>
      <c r="L773" s="1"/>
      <c r="M773" s="1"/>
      <c r="N773" s="1"/>
      <c r="O773" s="1"/>
      <c r="Q773" s="1"/>
      <c r="R773" s="2"/>
      <c r="S773" s="1"/>
      <c r="T773" s="1"/>
      <c r="V773" s="1"/>
      <c r="W773" s="1"/>
      <c r="AJ773" s="1"/>
    </row>
    <row r="774" ht="14.25" customHeight="1" spans="1:36" x14ac:dyDescent="0.25">
      <c r="A774" s="1"/>
      <c r="B774" s="1"/>
      <c r="C774" s="1"/>
      <c r="D774" s="1"/>
      <c r="E774" s="1"/>
      <c r="F774" s="1"/>
      <c r="G774" s="1"/>
      <c r="H774" s="1"/>
      <c r="I774" s="1"/>
      <c r="J774" s="1"/>
      <c r="K774" s="1"/>
      <c r="L774" s="1"/>
      <c r="M774" s="1"/>
      <c r="N774" s="1"/>
      <c r="O774" s="1"/>
      <c r="Q774" s="1"/>
      <c r="R774" s="2"/>
      <c r="S774" s="1"/>
      <c r="T774" s="1"/>
      <c r="V774" s="1"/>
      <c r="W774" s="1"/>
      <c r="AJ774" s="1"/>
    </row>
    <row r="775" ht="14.25" customHeight="1" spans="1:36" x14ac:dyDescent="0.25">
      <c r="A775" s="1"/>
      <c r="B775" s="1"/>
      <c r="C775" s="1"/>
      <c r="D775" s="1"/>
      <c r="E775" s="1"/>
      <c r="F775" s="1"/>
      <c r="G775" s="1"/>
      <c r="H775" s="1"/>
      <c r="I775" s="1"/>
      <c r="J775" s="1"/>
      <c r="K775" s="1"/>
      <c r="L775" s="1"/>
      <c r="M775" s="1"/>
      <c r="N775" s="1"/>
      <c r="O775" s="1"/>
      <c r="Q775" s="1"/>
      <c r="R775" s="2"/>
      <c r="S775" s="1"/>
      <c r="T775" s="1"/>
      <c r="V775" s="1"/>
      <c r="W775" s="1"/>
      <c r="AJ775" s="1"/>
    </row>
    <row r="776" ht="14.25" customHeight="1" spans="1:36" x14ac:dyDescent="0.25">
      <c r="A776" s="1"/>
      <c r="B776" s="1"/>
      <c r="C776" s="1"/>
      <c r="D776" s="1"/>
      <c r="E776" s="1"/>
      <c r="F776" s="1"/>
      <c r="G776" s="1"/>
      <c r="H776" s="1"/>
      <c r="I776" s="1"/>
      <c r="J776" s="1"/>
      <c r="K776" s="1"/>
      <c r="L776" s="1"/>
      <c r="M776" s="1"/>
      <c r="N776" s="1"/>
      <c r="O776" s="1"/>
      <c r="Q776" s="1"/>
      <c r="R776" s="2"/>
      <c r="S776" s="1"/>
      <c r="T776" s="1"/>
      <c r="V776" s="1"/>
      <c r="W776" s="1"/>
      <c r="AJ776" s="1"/>
    </row>
    <row r="777" ht="14.25" customHeight="1" spans="1:36" x14ac:dyDescent="0.25">
      <c r="A777" s="1"/>
      <c r="B777" s="1"/>
      <c r="C777" s="1"/>
      <c r="D777" s="1"/>
      <c r="E777" s="1"/>
      <c r="F777" s="1"/>
      <c r="G777" s="1"/>
      <c r="H777" s="1"/>
      <c r="I777" s="1"/>
      <c r="J777" s="1"/>
      <c r="K777" s="1"/>
      <c r="L777" s="1"/>
      <c r="M777" s="1"/>
      <c r="N777" s="1"/>
      <c r="O777" s="1"/>
      <c r="Q777" s="1"/>
      <c r="R777" s="2"/>
      <c r="S777" s="1"/>
      <c r="T777" s="1"/>
      <c r="V777" s="1"/>
      <c r="W777" s="1"/>
      <c r="AJ777" s="1"/>
    </row>
    <row r="778" ht="14.25" customHeight="1" spans="1:36" x14ac:dyDescent="0.25">
      <c r="A778" s="1"/>
      <c r="B778" s="1"/>
      <c r="C778" s="1"/>
      <c r="D778" s="1"/>
      <c r="E778" s="1"/>
      <c r="F778" s="1"/>
      <c r="G778" s="1"/>
      <c r="H778" s="1"/>
      <c r="I778" s="1"/>
      <c r="J778" s="1"/>
      <c r="K778" s="1"/>
      <c r="L778" s="1"/>
      <c r="M778" s="1"/>
      <c r="N778" s="1"/>
      <c r="O778" s="1"/>
      <c r="Q778" s="1"/>
      <c r="R778" s="2"/>
      <c r="S778" s="1"/>
      <c r="T778" s="1"/>
      <c r="V778" s="1"/>
      <c r="W778" s="1"/>
      <c r="AJ778" s="1"/>
    </row>
    <row r="779" ht="14.25" customHeight="1" spans="1:36" x14ac:dyDescent="0.25">
      <c r="A779" s="1"/>
      <c r="B779" s="1"/>
      <c r="C779" s="1"/>
      <c r="D779" s="1"/>
      <c r="E779" s="1"/>
      <c r="F779" s="1"/>
      <c r="G779" s="1"/>
      <c r="H779" s="1"/>
      <c r="I779" s="1"/>
      <c r="J779" s="1"/>
      <c r="K779" s="1"/>
      <c r="L779" s="1"/>
      <c r="M779" s="1"/>
      <c r="N779" s="1"/>
      <c r="O779" s="1"/>
      <c r="Q779" s="1"/>
      <c r="R779" s="2"/>
      <c r="S779" s="1"/>
      <c r="T779" s="1"/>
      <c r="V779" s="1"/>
      <c r="W779" s="1"/>
      <c r="AJ779" s="1"/>
    </row>
    <row r="780" ht="14.25" customHeight="1" spans="1:36" x14ac:dyDescent="0.25">
      <c r="A780" s="1"/>
      <c r="B780" s="1"/>
      <c r="C780" s="1"/>
      <c r="D780" s="1"/>
      <c r="E780" s="1"/>
      <c r="F780" s="1"/>
      <c r="G780" s="1"/>
      <c r="H780" s="1"/>
      <c r="I780" s="1"/>
      <c r="J780" s="1"/>
      <c r="K780" s="1"/>
      <c r="L780" s="1"/>
      <c r="M780" s="1"/>
      <c r="N780" s="1"/>
      <c r="O780" s="1"/>
      <c r="Q780" s="1"/>
      <c r="R780" s="2"/>
      <c r="S780" s="1"/>
      <c r="T780" s="1"/>
      <c r="V780" s="1"/>
      <c r="W780" s="1"/>
      <c r="AJ780" s="1"/>
    </row>
    <row r="781" ht="14.25" customHeight="1" spans="1:36" x14ac:dyDescent="0.25">
      <c r="A781" s="1"/>
      <c r="B781" s="1"/>
      <c r="C781" s="1"/>
      <c r="D781" s="1"/>
      <c r="E781" s="1"/>
      <c r="F781" s="1"/>
      <c r="G781" s="1"/>
      <c r="H781" s="1"/>
      <c r="I781" s="1"/>
      <c r="J781" s="1"/>
      <c r="K781" s="1"/>
      <c r="L781" s="1"/>
      <c r="M781" s="1"/>
      <c r="N781" s="1"/>
      <c r="O781" s="1"/>
      <c r="Q781" s="1"/>
      <c r="R781" s="2"/>
      <c r="S781" s="1"/>
      <c r="T781" s="1"/>
      <c r="V781" s="1"/>
      <c r="W781" s="1"/>
      <c r="AJ781" s="1"/>
    </row>
    <row r="782" ht="14.25" customHeight="1" spans="1:36" x14ac:dyDescent="0.25">
      <c r="A782" s="1"/>
      <c r="B782" s="1"/>
      <c r="C782" s="1"/>
      <c r="D782" s="1"/>
      <c r="E782" s="1"/>
      <c r="F782" s="1"/>
      <c r="G782" s="1"/>
      <c r="H782" s="1"/>
      <c r="I782" s="1"/>
      <c r="J782" s="1"/>
      <c r="K782" s="1"/>
      <c r="L782" s="1"/>
      <c r="M782" s="1"/>
      <c r="N782" s="1"/>
      <c r="O782" s="1"/>
      <c r="Q782" s="1"/>
      <c r="R782" s="2"/>
      <c r="S782" s="1"/>
      <c r="T782" s="1"/>
      <c r="V782" s="1"/>
      <c r="W782" s="1"/>
      <c r="AJ782" s="1"/>
    </row>
    <row r="783" ht="14.25" customHeight="1" spans="1:36" x14ac:dyDescent="0.25">
      <c r="A783" s="1"/>
      <c r="B783" s="1"/>
      <c r="C783" s="1"/>
      <c r="D783" s="1"/>
      <c r="E783" s="1"/>
      <c r="F783" s="1"/>
      <c r="G783" s="1"/>
      <c r="H783" s="1"/>
      <c r="I783" s="1"/>
      <c r="J783" s="1"/>
      <c r="K783" s="1"/>
      <c r="L783" s="1"/>
      <c r="M783" s="1"/>
      <c r="N783" s="1"/>
      <c r="O783" s="1"/>
      <c r="Q783" s="1"/>
      <c r="R783" s="2"/>
      <c r="S783" s="1"/>
      <c r="T783" s="1"/>
      <c r="V783" s="1"/>
      <c r="W783" s="1"/>
      <c r="AJ783" s="1"/>
    </row>
    <row r="784" ht="14.25" customHeight="1" spans="1:36" x14ac:dyDescent="0.25">
      <c r="A784" s="1"/>
      <c r="B784" s="1"/>
      <c r="C784" s="1"/>
      <c r="D784" s="1"/>
      <c r="E784" s="1"/>
      <c r="F784" s="1"/>
      <c r="G784" s="1"/>
      <c r="H784" s="1"/>
      <c r="I784" s="1"/>
      <c r="J784" s="1"/>
      <c r="K784" s="1"/>
      <c r="L784" s="1"/>
      <c r="M784" s="1"/>
      <c r="N784" s="1"/>
      <c r="O784" s="1"/>
      <c r="Q784" s="1"/>
      <c r="R784" s="2"/>
      <c r="S784" s="1"/>
      <c r="T784" s="1"/>
      <c r="V784" s="1"/>
      <c r="W784" s="1"/>
      <c r="AJ784" s="1"/>
    </row>
    <row r="785" ht="14.25" customHeight="1" spans="1:36" x14ac:dyDescent="0.25">
      <c r="A785" s="1"/>
      <c r="B785" s="1"/>
      <c r="C785" s="1"/>
      <c r="D785" s="1"/>
      <c r="E785" s="1"/>
      <c r="F785" s="1"/>
      <c r="G785" s="1"/>
      <c r="H785" s="1"/>
      <c r="I785" s="1"/>
      <c r="J785" s="1"/>
      <c r="K785" s="1"/>
      <c r="L785" s="1"/>
      <c r="M785" s="1"/>
      <c r="N785" s="1"/>
      <c r="O785" s="1"/>
      <c r="Q785" s="1"/>
      <c r="R785" s="2"/>
      <c r="S785" s="1"/>
      <c r="T785" s="1"/>
      <c r="V785" s="1"/>
      <c r="W785" s="1"/>
      <c r="AJ785" s="1"/>
    </row>
    <row r="786" ht="14.25" customHeight="1" spans="1:36" x14ac:dyDescent="0.25">
      <c r="A786" s="1"/>
      <c r="B786" s="1"/>
      <c r="C786" s="1"/>
      <c r="D786" s="1"/>
      <c r="E786" s="1"/>
      <c r="F786" s="1"/>
      <c r="G786" s="1"/>
      <c r="H786" s="1"/>
      <c r="I786" s="1"/>
      <c r="J786" s="1"/>
      <c r="K786" s="1"/>
      <c r="L786" s="1"/>
      <c r="M786" s="1"/>
      <c r="N786" s="1"/>
      <c r="O786" s="1"/>
      <c r="Q786" s="1"/>
      <c r="R786" s="2"/>
      <c r="S786" s="1"/>
      <c r="T786" s="1"/>
      <c r="V786" s="1"/>
      <c r="W786" s="1"/>
      <c r="AJ786" s="1"/>
    </row>
    <row r="787" ht="14.25" customHeight="1" spans="1:36" x14ac:dyDescent="0.25">
      <c r="A787" s="1"/>
      <c r="B787" s="1"/>
      <c r="C787" s="1"/>
      <c r="D787" s="1"/>
      <c r="E787" s="1"/>
      <c r="F787" s="1"/>
      <c r="G787" s="1"/>
      <c r="H787" s="1"/>
      <c r="I787" s="1"/>
      <c r="J787" s="1"/>
      <c r="K787" s="1"/>
      <c r="L787" s="1"/>
      <c r="M787" s="1"/>
      <c r="N787" s="1"/>
      <c r="O787" s="1"/>
      <c r="Q787" s="1"/>
      <c r="R787" s="2"/>
      <c r="S787" s="1"/>
      <c r="T787" s="1"/>
      <c r="V787" s="1"/>
      <c r="W787" s="1"/>
      <c r="AJ787" s="1"/>
    </row>
    <row r="788" ht="14.25" customHeight="1" spans="1:36" x14ac:dyDescent="0.25">
      <c r="A788" s="1"/>
      <c r="B788" s="1"/>
      <c r="C788" s="1"/>
      <c r="D788" s="1"/>
      <c r="E788" s="1"/>
      <c r="F788" s="1"/>
      <c r="G788" s="1"/>
      <c r="H788" s="1"/>
      <c r="I788" s="1"/>
      <c r="J788" s="1"/>
      <c r="K788" s="1"/>
      <c r="L788" s="1"/>
      <c r="M788" s="1"/>
      <c r="N788" s="1"/>
      <c r="O788" s="1"/>
      <c r="Q788" s="1"/>
      <c r="R788" s="2"/>
      <c r="S788" s="1"/>
      <c r="T788" s="1"/>
      <c r="V788" s="1"/>
      <c r="W788" s="1"/>
      <c r="AJ788" s="1"/>
    </row>
    <row r="789" ht="14.25" customHeight="1" spans="1:36" x14ac:dyDescent="0.25">
      <c r="A789" s="1"/>
      <c r="B789" s="1"/>
      <c r="C789" s="1"/>
      <c r="D789" s="1"/>
      <c r="E789" s="1"/>
      <c r="F789" s="1"/>
      <c r="G789" s="1"/>
      <c r="H789" s="1"/>
      <c r="I789" s="1"/>
      <c r="J789" s="1"/>
      <c r="K789" s="1"/>
      <c r="L789" s="1"/>
      <c r="M789" s="1"/>
      <c r="N789" s="1"/>
      <c r="O789" s="1"/>
      <c r="Q789" s="1"/>
      <c r="R789" s="2"/>
      <c r="S789" s="1"/>
      <c r="T789" s="1"/>
      <c r="V789" s="1"/>
      <c r="W789" s="1"/>
      <c r="AJ789" s="1"/>
    </row>
    <row r="790" ht="14.25" customHeight="1" spans="1:36" x14ac:dyDescent="0.25">
      <c r="A790" s="1"/>
      <c r="B790" s="1"/>
      <c r="C790" s="1"/>
      <c r="D790" s="1"/>
      <c r="E790" s="1"/>
      <c r="F790" s="1"/>
      <c r="G790" s="1"/>
      <c r="H790" s="1"/>
      <c r="I790" s="1"/>
      <c r="J790" s="1"/>
      <c r="K790" s="1"/>
      <c r="L790" s="1"/>
      <c r="M790" s="1"/>
      <c r="N790" s="1"/>
      <c r="O790" s="1"/>
      <c r="Q790" s="1"/>
      <c r="R790" s="2"/>
      <c r="S790" s="1"/>
      <c r="T790" s="1"/>
      <c r="V790" s="1"/>
      <c r="W790" s="1"/>
      <c r="AJ790" s="1"/>
    </row>
    <row r="791" ht="14.25" customHeight="1" spans="1:36" x14ac:dyDescent="0.25">
      <c r="A791" s="1"/>
      <c r="B791" s="1"/>
      <c r="C791" s="1"/>
      <c r="D791" s="1"/>
      <c r="E791" s="1"/>
      <c r="F791" s="1"/>
      <c r="G791" s="1"/>
      <c r="H791" s="1"/>
      <c r="I791" s="1"/>
      <c r="J791" s="1"/>
      <c r="K791" s="1"/>
      <c r="L791" s="1"/>
      <c r="M791" s="1"/>
      <c r="N791" s="1"/>
      <c r="O791" s="1"/>
      <c r="Q791" s="1"/>
      <c r="R791" s="2"/>
      <c r="S791" s="1"/>
      <c r="T791" s="1"/>
      <c r="V791" s="1"/>
      <c r="W791" s="1"/>
      <c r="AJ791" s="1"/>
    </row>
    <row r="792" ht="14.25" customHeight="1" spans="1:36" x14ac:dyDescent="0.25">
      <c r="A792" s="1"/>
      <c r="B792" s="1"/>
      <c r="C792" s="1"/>
      <c r="D792" s="1"/>
      <c r="E792" s="1"/>
      <c r="F792" s="1"/>
      <c r="G792" s="1"/>
      <c r="H792" s="1"/>
      <c r="I792" s="1"/>
      <c r="J792" s="1"/>
      <c r="K792" s="1"/>
      <c r="L792" s="1"/>
      <c r="M792" s="1"/>
      <c r="N792" s="1"/>
      <c r="O792" s="1"/>
      <c r="Q792" s="1"/>
      <c r="R792" s="2"/>
      <c r="S792" s="1"/>
      <c r="T792" s="1"/>
      <c r="V792" s="1"/>
      <c r="W792" s="1"/>
      <c r="AJ792" s="1"/>
    </row>
    <row r="793" ht="14.25" customHeight="1" spans="1:36" x14ac:dyDescent="0.25">
      <c r="A793" s="1"/>
      <c r="B793" s="1"/>
      <c r="C793" s="1"/>
      <c r="D793" s="1"/>
      <c r="E793" s="1"/>
      <c r="F793" s="1"/>
      <c r="G793" s="1"/>
      <c r="H793" s="1"/>
      <c r="I793" s="1"/>
      <c r="J793" s="1"/>
      <c r="K793" s="1"/>
      <c r="L793" s="1"/>
      <c r="M793" s="1"/>
      <c r="N793" s="1"/>
      <c r="O793" s="1"/>
      <c r="Q793" s="1"/>
      <c r="R793" s="2"/>
      <c r="S793" s="1"/>
      <c r="T793" s="1"/>
      <c r="V793" s="1"/>
      <c r="W793" s="1"/>
      <c r="AJ793" s="1"/>
    </row>
    <row r="794" ht="14.25" customHeight="1" spans="1:36" x14ac:dyDescent="0.25">
      <c r="A794" s="1"/>
      <c r="B794" s="1"/>
      <c r="C794" s="1"/>
      <c r="D794" s="1"/>
      <c r="E794" s="1"/>
      <c r="F794" s="1"/>
      <c r="G794" s="1"/>
      <c r="H794" s="1"/>
      <c r="I794" s="1"/>
      <c r="J794" s="1"/>
      <c r="K794" s="1"/>
      <c r="L794" s="1"/>
      <c r="M794" s="1"/>
      <c r="N794" s="1"/>
      <c r="O794" s="1"/>
      <c r="Q794" s="1"/>
      <c r="R794" s="2"/>
      <c r="S794" s="1"/>
      <c r="T794" s="1"/>
      <c r="V794" s="1"/>
      <c r="W794" s="1"/>
      <c r="AJ794" s="1"/>
    </row>
    <row r="795" ht="14.25" customHeight="1" spans="1:36" x14ac:dyDescent="0.25">
      <c r="A795" s="1"/>
      <c r="B795" s="1"/>
      <c r="C795" s="1"/>
      <c r="D795" s="1"/>
      <c r="E795" s="1"/>
      <c r="F795" s="1"/>
      <c r="G795" s="1"/>
      <c r="H795" s="1"/>
      <c r="I795" s="1"/>
      <c r="J795" s="1"/>
      <c r="K795" s="1"/>
      <c r="L795" s="1"/>
      <c r="M795" s="1"/>
      <c r="N795" s="1"/>
      <c r="O795" s="1"/>
      <c r="Q795" s="1"/>
      <c r="R795" s="2"/>
      <c r="S795" s="1"/>
      <c r="T795" s="1"/>
      <c r="V795" s="1"/>
      <c r="W795" s="1"/>
      <c r="AJ795" s="1"/>
    </row>
    <row r="796" ht="14.25" customHeight="1" spans="1:36" x14ac:dyDescent="0.25">
      <c r="A796" s="1"/>
      <c r="B796" s="1"/>
      <c r="C796" s="1"/>
      <c r="D796" s="1"/>
      <c r="E796" s="1"/>
      <c r="F796" s="1"/>
      <c r="G796" s="1"/>
      <c r="H796" s="1"/>
      <c r="I796" s="1"/>
      <c r="J796" s="1"/>
      <c r="K796" s="1"/>
      <c r="L796" s="1"/>
      <c r="M796" s="1"/>
      <c r="N796" s="1"/>
      <c r="O796" s="1"/>
      <c r="Q796" s="1"/>
      <c r="R796" s="2"/>
      <c r="S796" s="1"/>
      <c r="T796" s="1"/>
      <c r="V796" s="1"/>
      <c r="W796" s="1"/>
      <c r="AJ796" s="1"/>
    </row>
    <row r="797" ht="14.25" customHeight="1" spans="1:36" x14ac:dyDescent="0.25">
      <c r="A797" s="1"/>
      <c r="B797" s="1"/>
      <c r="C797" s="1"/>
      <c r="D797" s="1"/>
      <c r="E797" s="1"/>
      <c r="F797" s="1"/>
      <c r="G797" s="1"/>
      <c r="H797" s="1"/>
      <c r="I797" s="1"/>
      <c r="J797" s="1"/>
      <c r="K797" s="1"/>
      <c r="L797" s="1"/>
      <c r="M797" s="1"/>
      <c r="N797" s="1"/>
      <c r="O797" s="1"/>
      <c r="Q797" s="1"/>
      <c r="R797" s="2"/>
      <c r="S797" s="1"/>
      <c r="T797" s="1"/>
      <c r="V797" s="1"/>
      <c r="W797" s="1"/>
      <c r="AJ797" s="1"/>
    </row>
    <row r="798" ht="14.25" customHeight="1" spans="1:36" x14ac:dyDescent="0.25">
      <c r="A798" s="1"/>
      <c r="B798" s="1"/>
      <c r="C798" s="1"/>
      <c r="D798" s="1"/>
      <c r="E798" s="1"/>
      <c r="F798" s="1"/>
      <c r="G798" s="1"/>
      <c r="H798" s="1"/>
      <c r="I798" s="1"/>
      <c r="J798" s="1"/>
      <c r="K798" s="1"/>
      <c r="L798" s="1"/>
      <c r="M798" s="1"/>
      <c r="N798" s="1"/>
      <c r="O798" s="1"/>
      <c r="Q798" s="1"/>
      <c r="R798" s="2"/>
      <c r="S798" s="1"/>
      <c r="T798" s="1"/>
      <c r="V798" s="1"/>
      <c r="W798" s="1"/>
      <c r="AJ798" s="1"/>
    </row>
    <row r="799" ht="14.25" customHeight="1" spans="1:36" x14ac:dyDescent="0.25">
      <c r="A799" s="1"/>
      <c r="B799" s="1"/>
      <c r="C799" s="1"/>
      <c r="D799" s="1"/>
      <c r="E799" s="1"/>
      <c r="F799" s="1"/>
      <c r="G799" s="1"/>
      <c r="H799" s="1"/>
      <c r="I799" s="1"/>
      <c r="J799" s="1"/>
      <c r="K799" s="1"/>
      <c r="L799" s="1"/>
      <c r="M799" s="1"/>
      <c r="N799" s="1"/>
      <c r="O799" s="1"/>
      <c r="Q799" s="1"/>
      <c r="R799" s="2"/>
      <c r="S799" s="1"/>
      <c r="T799" s="1"/>
      <c r="V799" s="1"/>
      <c r="W799" s="1"/>
      <c r="AJ799" s="1"/>
    </row>
    <row r="800" ht="14.25" customHeight="1" spans="1:36" x14ac:dyDescent="0.25">
      <c r="A800" s="1"/>
      <c r="B800" s="1"/>
      <c r="C800" s="1"/>
      <c r="D800" s="1"/>
      <c r="E800" s="1"/>
      <c r="F800" s="1"/>
      <c r="G800" s="1"/>
      <c r="H800" s="1"/>
      <c r="I800" s="1"/>
      <c r="J800" s="1"/>
      <c r="K800" s="1"/>
      <c r="L800" s="1"/>
      <c r="M800" s="1"/>
      <c r="N800" s="1"/>
      <c r="O800" s="1"/>
      <c r="Q800" s="1"/>
      <c r="R800" s="2"/>
      <c r="S800" s="1"/>
      <c r="T800" s="1"/>
      <c r="V800" s="1"/>
      <c r="W800" s="1"/>
      <c r="AJ800" s="1"/>
    </row>
    <row r="801" ht="14.25" customHeight="1" spans="1:36" x14ac:dyDescent="0.25">
      <c r="A801" s="1"/>
      <c r="B801" s="1"/>
      <c r="C801" s="1"/>
      <c r="D801" s="1"/>
      <c r="E801" s="1"/>
      <c r="F801" s="1"/>
      <c r="G801" s="1"/>
      <c r="H801" s="1"/>
      <c r="I801" s="1"/>
      <c r="J801" s="1"/>
      <c r="K801" s="1"/>
      <c r="L801" s="1"/>
      <c r="M801" s="1"/>
      <c r="N801" s="1"/>
      <c r="O801" s="1"/>
      <c r="Q801" s="1"/>
      <c r="R801" s="2"/>
      <c r="S801" s="1"/>
      <c r="T801" s="1"/>
      <c r="V801" s="1"/>
      <c r="W801" s="1"/>
      <c r="AJ801" s="1"/>
    </row>
    <row r="802" ht="14.25" customHeight="1" spans="1:36" x14ac:dyDescent="0.25">
      <c r="A802" s="1"/>
      <c r="B802" s="1"/>
      <c r="C802" s="1"/>
      <c r="D802" s="1"/>
      <c r="E802" s="1"/>
      <c r="F802" s="1"/>
      <c r="G802" s="1"/>
      <c r="H802" s="1"/>
      <c r="I802" s="1"/>
      <c r="J802" s="1"/>
      <c r="K802" s="1"/>
      <c r="L802" s="1"/>
      <c r="M802" s="1"/>
      <c r="N802" s="1"/>
      <c r="O802" s="1"/>
      <c r="Q802" s="1"/>
      <c r="R802" s="2"/>
      <c r="S802" s="1"/>
      <c r="T802" s="1"/>
      <c r="V802" s="1"/>
      <c r="W802" s="1"/>
      <c r="AJ802" s="1"/>
    </row>
    <row r="803" ht="14.25" customHeight="1" spans="1:36" x14ac:dyDescent="0.25">
      <c r="A803" s="1"/>
      <c r="B803" s="1"/>
      <c r="C803" s="1"/>
      <c r="D803" s="1"/>
      <c r="E803" s="1"/>
      <c r="F803" s="1"/>
      <c r="G803" s="1"/>
      <c r="H803" s="1"/>
      <c r="I803" s="1"/>
      <c r="J803" s="1"/>
      <c r="K803" s="1"/>
      <c r="L803" s="1"/>
      <c r="M803" s="1"/>
      <c r="N803" s="1"/>
      <c r="O803" s="1"/>
      <c r="Q803" s="1"/>
      <c r="R803" s="2"/>
      <c r="S803" s="1"/>
      <c r="T803" s="1"/>
      <c r="V803" s="1"/>
      <c r="W803" s="1"/>
      <c r="AJ803" s="1"/>
    </row>
    <row r="804" ht="14.25" customHeight="1" spans="1:36" x14ac:dyDescent="0.25">
      <c r="A804" s="1"/>
      <c r="B804" s="1"/>
      <c r="C804" s="1"/>
      <c r="D804" s="1"/>
      <c r="E804" s="1"/>
      <c r="F804" s="1"/>
      <c r="G804" s="1"/>
      <c r="H804" s="1"/>
      <c r="I804" s="1"/>
      <c r="J804" s="1"/>
      <c r="K804" s="1"/>
      <c r="L804" s="1"/>
      <c r="M804" s="1"/>
      <c r="N804" s="1"/>
      <c r="O804" s="1"/>
      <c r="Q804" s="1"/>
      <c r="R804" s="2"/>
      <c r="S804" s="1"/>
      <c r="T804" s="1"/>
      <c r="V804" s="1"/>
      <c r="W804" s="1"/>
      <c r="AJ804" s="1"/>
    </row>
    <row r="805" ht="14.25" customHeight="1" spans="1:36" x14ac:dyDescent="0.25">
      <c r="A805" s="1"/>
      <c r="B805" s="1"/>
      <c r="C805" s="1"/>
      <c r="D805" s="1"/>
      <c r="E805" s="1"/>
      <c r="F805" s="1"/>
      <c r="G805" s="1"/>
      <c r="H805" s="1"/>
      <c r="I805" s="1"/>
      <c r="J805" s="1"/>
      <c r="K805" s="1"/>
      <c r="L805" s="1"/>
      <c r="M805" s="1"/>
      <c r="N805" s="1"/>
      <c r="O805" s="1"/>
      <c r="Q805" s="1"/>
      <c r="R805" s="2"/>
      <c r="S805" s="1"/>
      <c r="T805" s="1"/>
      <c r="V805" s="1"/>
      <c r="W805" s="1"/>
      <c r="AJ805" s="1"/>
    </row>
    <row r="806" ht="14.25" customHeight="1" spans="1:36" x14ac:dyDescent="0.25">
      <c r="A806" s="1"/>
      <c r="B806" s="1"/>
      <c r="C806" s="1"/>
      <c r="D806" s="1"/>
      <c r="E806" s="1"/>
      <c r="F806" s="1"/>
      <c r="G806" s="1"/>
      <c r="H806" s="1"/>
      <c r="I806" s="1"/>
      <c r="J806" s="1"/>
      <c r="K806" s="1"/>
      <c r="L806" s="1"/>
      <c r="M806" s="1"/>
      <c r="N806" s="1"/>
      <c r="O806" s="1"/>
      <c r="Q806" s="1"/>
      <c r="R806" s="2"/>
      <c r="S806" s="1"/>
      <c r="T806" s="1"/>
      <c r="V806" s="1"/>
      <c r="W806" s="1"/>
      <c r="AJ806" s="1"/>
    </row>
    <row r="807" ht="14.25" customHeight="1" spans="1:36" x14ac:dyDescent="0.25">
      <c r="A807" s="1"/>
      <c r="B807" s="1"/>
      <c r="C807" s="1"/>
      <c r="D807" s="1"/>
      <c r="E807" s="1"/>
      <c r="F807" s="1"/>
      <c r="G807" s="1"/>
      <c r="H807" s="1"/>
      <c r="I807" s="1"/>
      <c r="J807" s="1"/>
      <c r="K807" s="1"/>
      <c r="L807" s="1"/>
      <c r="M807" s="1"/>
      <c r="N807" s="1"/>
      <c r="O807" s="1"/>
      <c r="Q807" s="1"/>
      <c r="R807" s="2"/>
      <c r="S807" s="1"/>
      <c r="T807" s="1"/>
      <c r="V807" s="1"/>
      <c r="W807" s="1"/>
      <c r="AJ807" s="1"/>
    </row>
    <row r="808" ht="14.25" customHeight="1" spans="1:36" x14ac:dyDescent="0.25">
      <c r="A808" s="1"/>
      <c r="B808" s="1"/>
      <c r="C808" s="1"/>
      <c r="D808" s="1"/>
      <c r="E808" s="1"/>
      <c r="F808" s="1"/>
      <c r="G808" s="1"/>
      <c r="H808" s="1"/>
      <c r="I808" s="1"/>
      <c r="J808" s="1"/>
      <c r="K808" s="1"/>
      <c r="L808" s="1"/>
      <c r="M808" s="1"/>
      <c r="N808" s="1"/>
      <c r="O808" s="1"/>
      <c r="Q808" s="1"/>
      <c r="R808" s="2"/>
      <c r="S808" s="1"/>
      <c r="T808" s="1"/>
      <c r="V808" s="1"/>
      <c r="W808" s="1"/>
      <c r="AJ808" s="1"/>
    </row>
    <row r="809" ht="14.25" customHeight="1" spans="1:36" x14ac:dyDescent="0.25">
      <c r="A809" s="1"/>
      <c r="B809" s="1"/>
      <c r="C809" s="1"/>
      <c r="D809" s="1"/>
      <c r="E809" s="1"/>
      <c r="F809" s="1"/>
      <c r="G809" s="1"/>
      <c r="H809" s="1"/>
      <c r="I809" s="1"/>
      <c r="J809" s="1"/>
      <c r="K809" s="1"/>
      <c r="L809" s="1"/>
      <c r="M809" s="1"/>
      <c r="N809" s="1"/>
      <c r="O809" s="1"/>
      <c r="Q809" s="1"/>
      <c r="R809" s="2"/>
      <c r="S809" s="1"/>
      <c r="T809" s="1"/>
      <c r="V809" s="1"/>
      <c r="W809" s="1"/>
      <c r="AJ809" s="1"/>
    </row>
    <row r="810" ht="14.25" customHeight="1" spans="1:36" x14ac:dyDescent="0.25">
      <c r="A810" s="1"/>
      <c r="B810" s="1"/>
      <c r="C810" s="1"/>
      <c r="D810" s="1"/>
      <c r="E810" s="1"/>
      <c r="F810" s="1"/>
      <c r="G810" s="1"/>
      <c r="H810" s="1"/>
      <c r="I810" s="1"/>
      <c r="J810" s="1"/>
      <c r="K810" s="1"/>
      <c r="L810" s="1"/>
      <c r="M810" s="1"/>
      <c r="N810" s="1"/>
      <c r="O810" s="1"/>
      <c r="Q810" s="1"/>
      <c r="R810" s="2"/>
      <c r="S810" s="1"/>
      <c r="T810" s="1"/>
      <c r="V810" s="1"/>
      <c r="W810" s="1"/>
      <c r="AJ810" s="1"/>
    </row>
    <row r="811" ht="14.25" customHeight="1" spans="1:36" x14ac:dyDescent="0.25">
      <c r="A811" s="1"/>
      <c r="B811" s="1"/>
      <c r="C811" s="1"/>
      <c r="D811" s="1"/>
      <c r="E811" s="1"/>
      <c r="F811" s="1"/>
      <c r="G811" s="1"/>
      <c r="H811" s="1"/>
      <c r="I811" s="1"/>
      <c r="J811" s="1"/>
      <c r="K811" s="1"/>
      <c r="L811" s="1"/>
      <c r="M811" s="1"/>
      <c r="N811" s="1"/>
      <c r="O811" s="1"/>
      <c r="Q811" s="1"/>
      <c r="R811" s="2"/>
      <c r="S811" s="1"/>
      <c r="T811" s="1"/>
      <c r="V811" s="1"/>
      <c r="W811" s="1"/>
      <c r="AJ811" s="1"/>
    </row>
    <row r="812" ht="14.25" customHeight="1" spans="1:36" x14ac:dyDescent="0.25">
      <c r="A812" s="1"/>
      <c r="B812" s="1"/>
      <c r="C812" s="1"/>
      <c r="D812" s="1"/>
      <c r="E812" s="1"/>
      <c r="F812" s="1"/>
      <c r="G812" s="1"/>
      <c r="H812" s="1"/>
      <c r="I812" s="1"/>
      <c r="J812" s="1"/>
      <c r="K812" s="1"/>
      <c r="L812" s="1"/>
      <c r="M812" s="1"/>
      <c r="N812" s="1"/>
      <c r="O812" s="1"/>
      <c r="Q812" s="1"/>
      <c r="R812" s="2"/>
      <c r="S812" s="1"/>
      <c r="T812" s="1"/>
      <c r="V812" s="1"/>
      <c r="W812" s="1"/>
      <c r="AJ812" s="1"/>
    </row>
    <row r="813" ht="14.25" customHeight="1" spans="1:36" x14ac:dyDescent="0.25">
      <c r="A813" s="1"/>
      <c r="B813" s="1"/>
      <c r="C813" s="1"/>
      <c r="D813" s="1"/>
      <c r="E813" s="1"/>
      <c r="F813" s="1"/>
      <c r="G813" s="1"/>
      <c r="H813" s="1"/>
      <c r="I813" s="1"/>
      <c r="J813" s="1"/>
      <c r="K813" s="1"/>
      <c r="L813" s="1"/>
      <c r="M813" s="1"/>
      <c r="N813" s="1"/>
      <c r="O813" s="1"/>
      <c r="Q813" s="1"/>
      <c r="R813" s="2"/>
      <c r="S813" s="1"/>
      <c r="T813" s="1"/>
      <c r="V813" s="1"/>
      <c r="W813" s="1"/>
      <c r="AJ813" s="1"/>
    </row>
    <row r="814" ht="14.25" customHeight="1" spans="1:36" x14ac:dyDescent="0.25">
      <c r="A814" s="1"/>
      <c r="B814" s="1"/>
      <c r="C814" s="1"/>
      <c r="D814" s="1"/>
      <c r="E814" s="1"/>
      <c r="F814" s="1"/>
      <c r="G814" s="1"/>
      <c r="H814" s="1"/>
      <c r="I814" s="1"/>
      <c r="J814" s="1"/>
      <c r="K814" s="1"/>
      <c r="L814" s="1"/>
      <c r="M814" s="1"/>
      <c r="N814" s="1"/>
      <c r="O814" s="1"/>
      <c r="Q814" s="1"/>
      <c r="R814" s="2"/>
      <c r="S814" s="1"/>
      <c r="T814" s="1"/>
      <c r="V814" s="1"/>
      <c r="W814" s="1"/>
      <c r="AJ814" s="1"/>
    </row>
    <row r="815" ht="14.25" customHeight="1" spans="1:36" x14ac:dyDescent="0.25">
      <c r="A815" s="1"/>
      <c r="B815" s="1"/>
      <c r="C815" s="1"/>
      <c r="D815" s="1"/>
      <c r="E815" s="1"/>
      <c r="F815" s="1"/>
      <c r="G815" s="1"/>
      <c r="H815" s="1"/>
      <c r="I815" s="1"/>
      <c r="J815" s="1"/>
      <c r="K815" s="1"/>
      <c r="L815" s="1"/>
      <c r="M815" s="1"/>
      <c r="N815" s="1"/>
      <c r="O815" s="1"/>
      <c r="Q815" s="1"/>
      <c r="R815" s="2"/>
      <c r="S815" s="1"/>
      <c r="T815" s="1"/>
      <c r="V815" s="1"/>
      <c r="W815" s="1"/>
      <c r="AJ815" s="1"/>
    </row>
    <row r="816" ht="14.25" customHeight="1" spans="1:36" x14ac:dyDescent="0.25">
      <c r="A816" s="1"/>
      <c r="B816" s="1"/>
      <c r="C816" s="1"/>
      <c r="D816" s="1"/>
      <c r="E816" s="1"/>
      <c r="F816" s="1"/>
      <c r="G816" s="1"/>
      <c r="H816" s="1"/>
      <c r="I816" s="1"/>
      <c r="J816" s="1"/>
      <c r="K816" s="1"/>
      <c r="L816" s="1"/>
      <c r="M816" s="1"/>
      <c r="N816" s="1"/>
      <c r="O816" s="1"/>
      <c r="Q816" s="1"/>
      <c r="R816" s="2"/>
      <c r="S816" s="1"/>
      <c r="T816" s="1"/>
      <c r="V816" s="1"/>
      <c r="W816" s="1"/>
      <c r="AJ816" s="1"/>
    </row>
    <row r="817" ht="14.25" customHeight="1" spans="1:36" x14ac:dyDescent="0.25">
      <c r="A817" s="1"/>
      <c r="B817" s="1"/>
      <c r="C817" s="1"/>
      <c r="D817" s="1"/>
      <c r="E817" s="1"/>
      <c r="F817" s="1"/>
      <c r="G817" s="1"/>
      <c r="H817" s="1"/>
      <c r="I817" s="1"/>
      <c r="J817" s="1"/>
      <c r="K817" s="1"/>
      <c r="L817" s="1"/>
      <c r="M817" s="1"/>
      <c r="N817" s="1"/>
      <c r="O817" s="1"/>
      <c r="Q817" s="1"/>
      <c r="R817" s="2"/>
      <c r="S817" s="1"/>
      <c r="T817" s="1"/>
      <c r="V817" s="1"/>
      <c r="W817" s="1"/>
      <c r="AJ817" s="1"/>
    </row>
    <row r="818" ht="14.25" customHeight="1" spans="1:36" x14ac:dyDescent="0.25">
      <c r="A818" s="1"/>
      <c r="B818" s="1"/>
      <c r="C818" s="1"/>
      <c r="D818" s="1"/>
      <c r="E818" s="1"/>
      <c r="F818" s="1"/>
      <c r="G818" s="1"/>
      <c r="H818" s="1"/>
      <c r="I818" s="1"/>
      <c r="J818" s="1"/>
      <c r="K818" s="1"/>
      <c r="L818" s="1"/>
      <c r="M818" s="1"/>
      <c r="N818" s="1"/>
      <c r="O818" s="1"/>
      <c r="Q818" s="1"/>
      <c r="R818" s="2"/>
      <c r="S818" s="1"/>
      <c r="T818" s="1"/>
      <c r="V818" s="1"/>
      <c r="W818" s="1"/>
      <c r="AJ818" s="1"/>
    </row>
    <row r="819" ht="14.25" customHeight="1" spans="1:36" x14ac:dyDescent="0.25">
      <c r="A819" s="1"/>
      <c r="B819" s="1"/>
      <c r="C819" s="1"/>
      <c r="D819" s="1"/>
      <c r="E819" s="1"/>
      <c r="F819" s="1"/>
      <c r="G819" s="1"/>
      <c r="H819" s="1"/>
      <c r="I819" s="1"/>
      <c r="J819" s="1"/>
      <c r="K819" s="1"/>
      <c r="L819" s="1"/>
      <c r="M819" s="1"/>
      <c r="N819" s="1"/>
      <c r="O819" s="1"/>
      <c r="Q819" s="1"/>
      <c r="R819" s="2"/>
      <c r="S819" s="1"/>
      <c r="T819" s="1"/>
      <c r="V819" s="1"/>
      <c r="W819" s="1"/>
      <c r="AJ819" s="1"/>
    </row>
    <row r="820" ht="14.25" customHeight="1" spans="1:36" x14ac:dyDescent="0.25">
      <c r="A820" s="1"/>
      <c r="B820" s="1"/>
      <c r="C820" s="1"/>
      <c r="D820" s="1"/>
      <c r="E820" s="1"/>
      <c r="F820" s="1"/>
      <c r="G820" s="1"/>
      <c r="H820" s="1"/>
      <c r="I820" s="1"/>
      <c r="J820" s="1"/>
      <c r="K820" s="1"/>
      <c r="L820" s="1"/>
      <c r="M820" s="1"/>
      <c r="N820" s="1"/>
      <c r="O820" s="1"/>
      <c r="Q820" s="1"/>
      <c r="R820" s="2"/>
      <c r="S820" s="1"/>
      <c r="T820" s="1"/>
      <c r="V820" s="1"/>
      <c r="W820" s="1"/>
      <c r="AJ820" s="1"/>
    </row>
    <row r="821" ht="14.25" customHeight="1" spans="1:36" x14ac:dyDescent="0.25">
      <c r="A821" s="1"/>
      <c r="B821" s="1"/>
      <c r="C821" s="1"/>
      <c r="D821" s="1"/>
      <c r="E821" s="1"/>
      <c r="F821" s="1"/>
      <c r="G821" s="1"/>
      <c r="H821" s="1"/>
      <c r="I821" s="1"/>
      <c r="J821" s="1"/>
      <c r="K821" s="1"/>
      <c r="L821" s="1"/>
      <c r="M821" s="1"/>
      <c r="N821" s="1"/>
      <c r="O821" s="1"/>
      <c r="Q821" s="1"/>
      <c r="R821" s="2"/>
      <c r="S821" s="1"/>
      <c r="T821" s="1"/>
      <c r="V821" s="1"/>
      <c r="W821" s="1"/>
      <c r="AJ821" s="1"/>
    </row>
    <row r="822" ht="14.25" customHeight="1" spans="1:36" x14ac:dyDescent="0.25">
      <c r="A822" s="1"/>
      <c r="B822" s="1"/>
      <c r="C822" s="1"/>
      <c r="D822" s="1"/>
      <c r="E822" s="1"/>
      <c r="F822" s="1"/>
      <c r="G822" s="1"/>
      <c r="H822" s="1"/>
      <c r="I822" s="1"/>
      <c r="J822" s="1"/>
      <c r="K822" s="1"/>
      <c r="L822" s="1"/>
      <c r="M822" s="1"/>
      <c r="N822" s="1"/>
      <c r="O822" s="1"/>
      <c r="Q822" s="1"/>
      <c r="R822" s="2"/>
      <c r="S822" s="1"/>
      <c r="T822" s="1"/>
      <c r="V822" s="1"/>
      <c r="W822" s="1"/>
      <c r="AJ822" s="1"/>
    </row>
    <row r="823" ht="14.25" customHeight="1" spans="1:36" x14ac:dyDescent="0.25">
      <c r="A823" s="1"/>
      <c r="B823" s="1"/>
      <c r="C823" s="1"/>
      <c r="D823" s="1"/>
      <c r="E823" s="1"/>
      <c r="F823" s="1"/>
      <c r="G823" s="1"/>
      <c r="H823" s="1"/>
      <c r="I823" s="1"/>
      <c r="J823" s="1"/>
      <c r="K823" s="1"/>
      <c r="L823" s="1"/>
      <c r="M823" s="1"/>
      <c r="N823" s="1"/>
      <c r="O823" s="1"/>
      <c r="Q823" s="1"/>
      <c r="R823" s="2"/>
      <c r="S823" s="1"/>
      <c r="T823" s="1"/>
      <c r="V823" s="1"/>
      <c r="W823" s="1"/>
      <c r="AJ823" s="1"/>
    </row>
    <row r="824" ht="14.25" customHeight="1" spans="1:36" x14ac:dyDescent="0.25">
      <c r="A824" s="1"/>
      <c r="B824" s="1"/>
      <c r="C824" s="1"/>
      <c r="D824" s="1"/>
      <c r="E824" s="1"/>
      <c r="F824" s="1"/>
      <c r="G824" s="1"/>
      <c r="H824" s="1"/>
      <c r="I824" s="1"/>
      <c r="J824" s="1"/>
      <c r="K824" s="1"/>
      <c r="L824" s="1"/>
      <c r="M824" s="1"/>
      <c r="N824" s="1"/>
      <c r="O824" s="1"/>
      <c r="Q824" s="1"/>
      <c r="R824" s="2"/>
      <c r="S824" s="1"/>
      <c r="T824" s="1"/>
      <c r="V824" s="1"/>
      <c r="W824" s="1"/>
      <c r="AJ824" s="1"/>
    </row>
    <row r="825" ht="14.25" customHeight="1" spans="1:36" x14ac:dyDescent="0.25">
      <c r="A825" s="1"/>
      <c r="B825" s="1"/>
      <c r="C825" s="1"/>
      <c r="D825" s="1"/>
      <c r="E825" s="1"/>
      <c r="F825" s="1"/>
      <c r="G825" s="1"/>
      <c r="H825" s="1"/>
      <c r="I825" s="1"/>
      <c r="J825" s="1"/>
      <c r="K825" s="1"/>
      <c r="L825" s="1"/>
      <c r="M825" s="1"/>
      <c r="N825" s="1"/>
      <c r="O825" s="1"/>
      <c r="Q825" s="1"/>
      <c r="R825" s="2"/>
      <c r="S825" s="1"/>
      <c r="T825" s="1"/>
      <c r="V825" s="1"/>
      <c r="W825" s="1"/>
      <c r="AJ825" s="1"/>
    </row>
    <row r="826" ht="14.25" customHeight="1" spans="1:36" x14ac:dyDescent="0.25">
      <c r="A826" s="1"/>
      <c r="B826" s="1"/>
      <c r="C826" s="1"/>
      <c r="D826" s="1"/>
      <c r="E826" s="1"/>
      <c r="F826" s="1"/>
      <c r="G826" s="1"/>
      <c r="H826" s="1"/>
      <c r="I826" s="1"/>
      <c r="J826" s="1"/>
      <c r="K826" s="1"/>
      <c r="L826" s="1"/>
      <c r="M826" s="1"/>
      <c r="N826" s="1"/>
      <c r="O826" s="1"/>
      <c r="Q826" s="1"/>
      <c r="R826" s="2"/>
      <c r="S826" s="1"/>
      <c r="T826" s="1"/>
      <c r="V826" s="1"/>
      <c r="W826" s="1"/>
      <c r="AJ826" s="1"/>
    </row>
    <row r="827" ht="14.25" customHeight="1" spans="1:36" x14ac:dyDescent="0.25">
      <c r="A827" s="1"/>
      <c r="B827" s="1"/>
      <c r="C827" s="1"/>
      <c r="D827" s="1"/>
      <c r="E827" s="1"/>
      <c r="F827" s="1"/>
      <c r="G827" s="1"/>
      <c r="H827" s="1"/>
      <c r="I827" s="1"/>
      <c r="J827" s="1"/>
      <c r="K827" s="1"/>
      <c r="L827" s="1"/>
      <c r="M827" s="1"/>
      <c r="N827" s="1"/>
      <c r="O827" s="1"/>
      <c r="Q827" s="1"/>
      <c r="R827" s="2"/>
      <c r="S827" s="1"/>
      <c r="T827" s="1"/>
      <c r="V827" s="1"/>
      <c r="W827" s="1"/>
      <c r="AJ827" s="1"/>
    </row>
    <row r="828" ht="14.25" customHeight="1" spans="1:36" x14ac:dyDescent="0.25">
      <c r="A828" s="1"/>
      <c r="B828" s="1"/>
      <c r="C828" s="1"/>
      <c r="D828" s="1"/>
      <c r="E828" s="1"/>
      <c r="F828" s="1"/>
      <c r="G828" s="1"/>
      <c r="H828" s="1"/>
      <c r="I828" s="1"/>
      <c r="J828" s="1"/>
      <c r="K828" s="1"/>
      <c r="L828" s="1"/>
      <c r="M828" s="1"/>
      <c r="N828" s="1"/>
      <c r="O828" s="1"/>
      <c r="Q828" s="1"/>
      <c r="R828" s="2"/>
      <c r="S828" s="1"/>
      <c r="T828" s="1"/>
      <c r="V828" s="1"/>
      <c r="W828" s="1"/>
      <c r="AJ828" s="1"/>
    </row>
    <row r="829" ht="14.25" customHeight="1" spans="1:36" x14ac:dyDescent="0.25">
      <c r="A829" s="1"/>
      <c r="B829" s="1"/>
      <c r="C829" s="1"/>
      <c r="D829" s="1"/>
      <c r="E829" s="1"/>
      <c r="F829" s="1"/>
      <c r="G829" s="1"/>
      <c r="H829" s="1"/>
      <c r="I829" s="1"/>
      <c r="J829" s="1"/>
      <c r="K829" s="1"/>
      <c r="L829" s="1"/>
      <c r="M829" s="1"/>
      <c r="N829" s="1"/>
      <c r="O829" s="1"/>
      <c r="Q829" s="1"/>
      <c r="R829" s="2"/>
      <c r="S829" s="1"/>
      <c r="T829" s="1"/>
      <c r="V829" s="1"/>
      <c r="W829" s="1"/>
      <c r="AJ829" s="1"/>
    </row>
    <row r="830" ht="14.25" customHeight="1" spans="1:36" x14ac:dyDescent="0.25">
      <c r="A830" s="1"/>
      <c r="B830" s="1"/>
      <c r="C830" s="1"/>
      <c r="D830" s="1"/>
      <c r="E830" s="1"/>
      <c r="F830" s="1"/>
      <c r="G830" s="1"/>
      <c r="H830" s="1"/>
      <c r="I830" s="1"/>
      <c r="J830" s="1"/>
      <c r="K830" s="1"/>
      <c r="L830" s="1"/>
      <c r="M830" s="1"/>
      <c r="N830" s="1"/>
      <c r="O830" s="1"/>
      <c r="Q830" s="1"/>
      <c r="R830" s="2"/>
      <c r="S830" s="1"/>
      <c r="T830" s="1"/>
      <c r="V830" s="1"/>
      <c r="W830" s="1"/>
      <c r="AJ830" s="1"/>
    </row>
    <row r="831" ht="14.25" customHeight="1" spans="1:36" x14ac:dyDescent="0.25">
      <c r="A831" s="1"/>
      <c r="B831" s="1"/>
      <c r="C831" s="1"/>
      <c r="D831" s="1"/>
      <c r="E831" s="1"/>
      <c r="F831" s="1"/>
      <c r="G831" s="1"/>
      <c r="H831" s="1"/>
      <c r="I831" s="1"/>
      <c r="J831" s="1"/>
      <c r="K831" s="1"/>
      <c r="L831" s="1"/>
      <c r="M831" s="1"/>
      <c r="N831" s="1"/>
      <c r="O831" s="1"/>
      <c r="Q831" s="1"/>
      <c r="R831" s="2"/>
      <c r="S831" s="1"/>
      <c r="T831" s="1"/>
      <c r="V831" s="1"/>
      <c r="W831" s="1"/>
      <c r="AJ831" s="1"/>
    </row>
    <row r="832" ht="14.25" customHeight="1" spans="1:36" x14ac:dyDescent="0.25">
      <c r="A832" s="1"/>
      <c r="B832" s="1"/>
      <c r="C832" s="1"/>
      <c r="D832" s="1"/>
      <c r="E832" s="1"/>
      <c r="F832" s="1"/>
      <c r="G832" s="1"/>
      <c r="H832" s="1"/>
      <c r="I832" s="1"/>
      <c r="J832" s="1"/>
      <c r="K832" s="1"/>
      <c r="L832" s="1"/>
      <c r="M832" s="1"/>
      <c r="N832" s="1"/>
      <c r="O832" s="1"/>
      <c r="Q832" s="1"/>
      <c r="R832" s="2"/>
      <c r="S832" s="1"/>
      <c r="T832" s="1"/>
      <c r="V832" s="1"/>
      <c r="W832" s="1"/>
      <c r="AJ832" s="1"/>
    </row>
    <row r="833" ht="14.25" customHeight="1" spans="1:36" x14ac:dyDescent="0.25">
      <c r="A833" s="1"/>
      <c r="B833" s="1"/>
      <c r="C833" s="1"/>
      <c r="D833" s="1"/>
      <c r="E833" s="1"/>
      <c r="F833" s="1"/>
      <c r="G833" s="1"/>
      <c r="H833" s="1"/>
      <c r="I833" s="1"/>
      <c r="J833" s="1"/>
      <c r="K833" s="1"/>
      <c r="L833" s="1"/>
      <c r="M833" s="1"/>
      <c r="N833" s="1"/>
      <c r="O833" s="1"/>
      <c r="Q833" s="1"/>
      <c r="R833" s="2"/>
      <c r="S833" s="1"/>
      <c r="T833" s="1"/>
      <c r="V833" s="1"/>
      <c r="W833" s="1"/>
      <c r="AJ833" s="1"/>
    </row>
    <row r="834" ht="14.25" customHeight="1" spans="1:36" x14ac:dyDescent="0.25">
      <c r="A834" s="1"/>
      <c r="B834" s="1"/>
      <c r="C834" s="1"/>
      <c r="D834" s="1"/>
      <c r="E834" s="1"/>
      <c r="F834" s="1"/>
      <c r="G834" s="1"/>
      <c r="H834" s="1"/>
      <c r="I834" s="1"/>
      <c r="J834" s="1"/>
      <c r="K834" s="1"/>
      <c r="L834" s="1"/>
      <c r="M834" s="1"/>
      <c r="N834" s="1"/>
      <c r="O834" s="1"/>
      <c r="Q834" s="1"/>
      <c r="R834" s="2"/>
      <c r="S834" s="1"/>
      <c r="T834" s="1"/>
      <c r="V834" s="1"/>
      <c r="W834" s="1"/>
      <c r="AJ834" s="1"/>
    </row>
    <row r="835" ht="14.25" customHeight="1" spans="1:36" x14ac:dyDescent="0.25">
      <c r="A835" s="1"/>
      <c r="B835" s="1"/>
      <c r="C835" s="1"/>
      <c r="D835" s="1"/>
      <c r="E835" s="1"/>
      <c r="F835" s="1"/>
      <c r="G835" s="1"/>
      <c r="H835" s="1"/>
      <c r="I835" s="1"/>
      <c r="J835" s="1"/>
      <c r="K835" s="1"/>
      <c r="L835" s="1"/>
      <c r="M835" s="1"/>
      <c r="N835" s="1"/>
      <c r="O835" s="1"/>
      <c r="Q835" s="1"/>
      <c r="R835" s="2"/>
      <c r="S835" s="1"/>
      <c r="T835" s="1"/>
      <c r="V835" s="1"/>
      <c r="W835" s="1"/>
      <c r="AJ835" s="1"/>
    </row>
    <row r="836" ht="14.25" customHeight="1" spans="1:36" x14ac:dyDescent="0.25">
      <c r="A836" s="1"/>
      <c r="B836" s="1"/>
      <c r="C836" s="1"/>
      <c r="D836" s="1"/>
      <c r="E836" s="1"/>
      <c r="F836" s="1"/>
      <c r="G836" s="1"/>
      <c r="H836" s="1"/>
      <c r="I836" s="1"/>
      <c r="J836" s="1"/>
      <c r="K836" s="1"/>
      <c r="L836" s="1"/>
      <c r="M836" s="1"/>
      <c r="N836" s="1"/>
      <c r="O836" s="1"/>
      <c r="Q836" s="1"/>
      <c r="R836" s="2"/>
      <c r="S836" s="1"/>
      <c r="T836" s="1"/>
      <c r="V836" s="1"/>
      <c r="W836" s="1"/>
      <c r="AJ836" s="1"/>
    </row>
    <row r="837" ht="14.25" customHeight="1" spans="1:36" x14ac:dyDescent="0.25">
      <c r="A837" s="1"/>
      <c r="B837" s="1"/>
      <c r="C837" s="1"/>
      <c r="D837" s="1"/>
      <c r="E837" s="1"/>
      <c r="F837" s="1"/>
      <c r="G837" s="1"/>
      <c r="H837" s="1"/>
      <c r="I837" s="1"/>
      <c r="J837" s="1"/>
      <c r="K837" s="1"/>
      <c r="L837" s="1"/>
      <c r="M837" s="1"/>
      <c r="N837" s="1"/>
      <c r="O837" s="1"/>
      <c r="Q837" s="1"/>
      <c r="R837" s="2"/>
      <c r="S837" s="1"/>
      <c r="T837" s="1"/>
      <c r="V837" s="1"/>
      <c r="W837" s="1"/>
      <c r="AJ837" s="1"/>
    </row>
    <row r="838" ht="14.25" customHeight="1" spans="1:36" x14ac:dyDescent="0.25">
      <c r="A838" s="1"/>
      <c r="B838" s="1"/>
      <c r="C838" s="1"/>
      <c r="D838" s="1"/>
      <c r="E838" s="1"/>
      <c r="F838" s="1"/>
      <c r="G838" s="1"/>
      <c r="H838" s="1"/>
      <c r="I838" s="1"/>
      <c r="J838" s="1"/>
      <c r="K838" s="1"/>
      <c r="L838" s="1"/>
      <c r="M838" s="1"/>
      <c r="N838" s="1"/>
      <c r="O838" s="1"/>
      <c r="Q838" s="1"/>
      <c r="R838" s="2"/>
      <c r="S838" s="1"/>
      <c r="T838" s="1"/>
      <c r="V838" s="1"/>
      <c r="W838" s="1"/>
      <c r="AJ838" s="1"/>
    </row>
    <row r="839" ht="14.25" customHeight="1" spans="1:36" x14ac:dyDescent="0.25">
      <c r="A839" s="1"/>
      <c r="B839" s="1"/>
      <c r="C839" s="1"/>
      <c r="D839" s="1"/>
      <c r="E839" s="1"/>
      <c r="F839" s="1"/>
      <c r="G839" s="1"/>
      <c r="H839" s="1"/>
      <c r="I839" s="1"/>
      <c r="J839" s="1"/>
      <c r="K839" s="1"/>
      <c r="L839" s="1"/>
      <c r="M839" s="1"/>
      <c r="N839" s="1"/>
      <c r="O839" s="1"/>
      <c r="Q839" s="1"/>
      <c r="R839" s="2"/>
      <c r="S839" s="1"/>
      <c r="T839" s="1"/>
      <c r="V839" s="1"/>
      <c r="W839" s="1"/>
      <c r="AJ839" s="1"/>
    </row>
    <row r="840" ht="14.25" customHeight="1" spans="1:36" x14ac:dyDescent="0.25">
      <c r="A840" s="1"/>
      <c r="B840" s="1"/>
      <c r="C840" s="1"/>
      <c r="D840" s="1"/>
      <c r="E840" s="1"/>
      <c r="F840" s="1"/>
      <c r="G840" s="1"/>
      <c r="H840" s="1"/>
      <c r="I840" s="1"/>
      <c r="J840" s="1"/>
      <c r="K840" s="1"/>
      <c r="L840" s="1"/>
      <c r="M840" s="1"/>
      <c r="N840" s="1"/>
      <c r="O840" s="1"/>
      <c r="Q840" s="1"/>
      <c r="R840" s="2"/>
      <c r="S840" s="1"/>
      <c r="T840" s="1"/>
      <c r="V840" s="1"/>
      <c r="W840" s="1"/>
      <c r="AJ840" s="1"/>
    </row>
    <row r="841" ht="14.25" customHeight="1" spans="1:36" x14ac:dyDescent="0.25">
      <c r="A841" s="1"/>
      <c r="B841" s="1"/>
      <c r="C841" s="1"/>
      <c r="D841" s="1"/>
      <c r="E841" s="1"/>
      <c r="F841" s="1"/>
      <c r="G841" s="1"/>
      <c r="H841" s="1"/>
      <c r="I841" s="1"/>
      <c r="J841" s="1"/>
      <c r="K841" s="1"/>
      <c r="L841" s="1"/>
      <c r="M841" s="1"/>
      <c r="N841" s="1"/>
      <c r="O841" s="1"/>
      <c r="Q841" s="1"/>
      <c r="R841" s="2"/>
      <c r="S841" s="1"/>
      <c r="T841" s="1"/>
      <c r="V841" s="1"/>
      <c r="W841" s="1"/>
      <c r="AJ841" s="1"/>
    </row>
    <row r="842" ht="14.25" customHeight="1" spans="1:36" x14ac:dyDescent="0.25">
      <c r="A842" s="1"/>
      <c r="B842" s="1"/>
      <c r="C842" s="1"/>
      <c r="D842" s="1"/>
      <c r="E842" s="1"/>
      <c r="F842" s="1"/>
      <c r="G842" s="1"/>
      <c r="H842" s="1"/>
      <c r="I842" s="1"/>
      <c r="J842" s="1"/>
      <c r="K842" s="1"/>
      <c r="L842" s="1"/>
      <c r="M842" s="1"/>
      <c r="N842" s="1"/>
      <c r="O842" s="1"/>
      <c r="Q842" s="1"/>
      <c r="R842" s="2"/>
      <c r="S842" s="1"/>
      <c r="T842" s="1"/>
      <c r="V842" s="1"/>
      <c r="W842" s="1"/>
      <c r="AJ842" s="1"/>
    </row>
    <row r="843" ht="14.25" customHeight="1" spans="1:36" x14ac:dyDescent="0.25">
      <c r="A843" s="1"/>
      <c r="B843" s="1"/>
      <c r="C843" s="1"/>
      <c r="D843" s="1"/>
      <c r="E843" s="1"/>
      <c r="F843" s="1"/>
      <c r="G843" s="1"/>
      <c r="H843" s="1"/>
      <c r="I843" s="1"/>
      <c r="J843" s="1"/>
      <c r="K843" s="1"/>
      <c r="L843" s="1"/>
      <c r="M843" s="1"/>
      <c r="N843" s="1"/>
      <c r="O843" s="1"/>
      <c r="Q843" s="1"/>
      <c r="R843" s="2"/>
      <c r="S843" s="1"/>
      <c r="T843" s="1"/>
      <c r="V843" s="1"/>
      <c r="W843" s="1"/>
      <c r="AJ843" s="1"/>
    </row>
    <row r="844" ht="14.25" customHeight="1" spans="1:36" x14ac:dyDescent="0.25">
      <c r="A844" s="1"/>
      <c r="B844" s="1"/>
      <c r="C844" s="1"/>
      <c r="D844" s="1"/>
      <c r="E844" s="1"/>
      <c r="F844" s="1"/>
      <c r="G844" s="1"/>
      <c r="H844" s="1"/>
      <c r="I844" s="1"/>
      <c r="J844" s="1"/>
      <c r="K844" s="1"/>
      <c r="L844" s="1"/>
      <c r="M844" s="1"/>
      <c r="N844" s="1"/>
      <c r="O844" s="1"/>
      <c r="Q844" s="1"/>
      <c r="R844" s="2"/>
      <c r="S844" s="1"/>
      <c r="T844" s="1"/>
      <c r="V844" s="1"/>
      <c r="W844" s="1"/>
      <c r="AJ844" s="1"/>
    </row>
    <row r="845" ht="14.25" customHeight="1" spans="1:36" x14ac:dyDescent="0.25">
      <c r="A845" s="1"/>
      <c r="B845" s="1"/>
      <c r="C845" s="1"/>
      <c r="D845" s="1"/>
      <c r="E845" s="1"/>
      <c r="F845" s="1"/>
      <c r="G845" s="1"/>
      <c r="H845" s="1"/>
      <c r="I845" s="1"/>
      <c r="J845" s="1"/>
      <c r="K845" s="1"/>
      <c r="L845" s="1"/>
      <c r="M845" s="1"/>
      <c r="N845" s="1"/>
      <c r="O845" s="1"/>
      <c r="Q845" s="1"/>
      <c r="R845" s="2"/>
      <c r="S845" s="1"/>
      <c r="T845" s="1"/>
      <c r="V845" s="1"/>
      <c r="W845" s="1"/>
      <c r="AJ845" s="1"/>
    </row>
    <row r="846" ht="14.25" customHeight="1" spans="1:36" x14ac:dyDescent="0.25">
      <c r="A846" s="1"/>
      <c r="B846" s="1"/>
      <c r="C846" s="1"/>
      <c r="D846" s="1"/>
      <c r="E846" s="1"/>
      <c r="F846" s="1"/>
      <c r="G846" s="1"/>
      <c r="H846" s="1"/>
      <c r="I846" s="1"/>
      <c r="J846" s="1"/>
      <c r="K846" s="1"/>
      <c r="L846" s="1"/>
      <c r="M846" s="1"/>
      <c r="N846" s="1"/>
      <c r="O846" s="1"/>
      <c r="Q846" s="1"/>
      <c r="R846" s="2"/>
      <c r="S846" s="1"/>
      <c r="T846" s="1"/>
      <c r="V846" s="1"/>
      <c r="W846" s="1"/>
      <c r="AJ846" s="1"/>
    </row>
    <row r="847" ht="14.25" customHeight="1" spans="1:36" x14ac:dyDescent="0.25">
      <c r="A847" s="1"/>
      <c r="B847" s="1"/>
      <c r="C847" s="1"/>
      <c r="D847" s="1"/>
      <c r="E847" s="1"/>
      <c r="F847" s="1"/>
      <c r="G847" s="1"/>
      <c r="H847" s="1"/>
      <c r="I847" s="1"/>
      <c r="J847" s="1"/>
      <c r="K847" s="1"/>
      <c r="L847" s="1"/>
      <c r="M847" s="1"/>
      <c r="N847" s="1"/>
      <c r="O847" s="1"/>
      <c r="Q847" s="1"/>
      <c r="R847" s="2"/>
      <c r="S847" s="1"/>
      <c r="T847" s="1"/>
      <c r="V847" s="1"/>
      <c r="W847" s="1"/>
      <c r="AJ847" s="1"/>
    </row>
    <row r="848" ht="14.25" customHeight="1" spans="1:36" x14ac:dyDescent="0.25">
      <c r="A848" s="1"/>
      <c r="B848" s="1"/>
      <c r="C848" s="1"/>
      <c r="D848" s="1"/>
      <c r="E848" s="1"/>
      <c r="F848" s="1"/>
      <c r="G848" s="1"/>
      <c r="H848" s="1"/>
      <c r="I848" s="1"/>
      <c r="J848" s="1"/>
      <c r="K848" s="1"/>
      <c r="L848" s="1"/>
      <c r="M848" s="1"/>
      <c r="N848" s="1"/>
      <c r="O848" s="1"/>
      <c r="Q848" s="1"/>
      <c r="R848" s="2"/>
      <c r="S848" s="1"/>
      <c r="T848" s="1"/>
      <c r="V848" s="1"/>
      <c r="W848" s="1"/>
      <c r="AJ848" s="1"/>
    </row>
    <row r="849" ht="14.25" customHeight="1" spans="1:36" x14ac:dyDescent="0.25">
      <c r="A849" s="1"/>
      <c r="B849" s="1"/>
      <c r="C849" s="1"/>
      <c r="D849" s="1"/>
      <c r="E849" s="1"/>
      <c r="F849" s="1"/>
      <c r="G849" s="1"/>
      <c r="H849" s="1"/>
      <c r="I849" s="1"/>
      <c r="J849" s="1"/>
      <c r="K849" s="1"/>
      <c r="L849" s="1"/>
      <c r="M849" s="1"/>
      <c r="N849" s="1"/>
      <c r="O849" s="1"/>
      <c r="Q849" s="1"/>
      <c r="R849" s="2"/>
      <c r="S849" s="1"/>
      <c r="T849" s="1"/>
      <c r="V849" s="1"/>
      <c r="W849" s="1"/>
      <c r="AJ849" s="1"/>
    </row>
    <row r="850" ht="14.25" customHeight="1" spans="1:36" x14ac:dyDescent="0.25">
      <c r="A850" s="1"/>
      <c r="B850" s="1"/>
      <c r="C850" s="1"/>
      <c r="D850" s="1"/>
      <c r="E850" s="1"/>
      <c r="F850" s="1"/>
      <c r="G850" s="1"/>
      <c r="H850" s="1"/>
      <c r="I850" s="1"/>
      <c r="J850" s="1"/>
      <c r="K850" s="1"/>
      <c r="L850" s="1"/>
      <c r="M850" s="1"/>
      <c r="N850" s="1"/>
      <c r="O850" s="1"/>
      <c r="Q850" s="1"/>
      <c r="R850" s="2"/>
      <c r="S850" s="1"/>
      <c r="T850" s="1"/>
      <c r="V850" s="1"/>
      <c r="W850" s="1"/>
      <c r="AJ850" s="1"/>
    </row>
    <row r="851" ht="14.25" customHeight="1" spans="1:36" x14ac:dyDescent="0.25">
      <c r="A851" s="1"/>
      <c r="B851" s="1"/>
      <c r="C851" s="1"/>
      <c r="D851" s="1"/>
      <c r="E851" s="1"/>
      <c r="F851" s="1"/>
      <c r="G851" s="1"/>
      <c r="H851" s="1"/>
      <c r="I851" s="1"/>
      <c r="J851" s="1"/>
      <c r="K851" s="1"/>
      <c r="L851" s="1"/>
      <c r="M851" s="1"/>
      <c r="N851" s="1"/>
      <c r="O851" s="1"/>
      <c r="Q851" s="1"/>
      <c r="R851" s="2"/>
      <c r="S851" s="1"/>
      <c r="T851" s="1"/>
      <c r="V851" s="1"/>
      <c r="W851" s="1"/>
      <c r="AJ851" s="1"/>
    </row>
    <row r="852" ht="14.25" customHeight="1" spans="1:36" x14ac:dyDescent="0.25">
      <c r="A852" s="1"/>
      <c r="B852" s="1"/>
      <c r="C852" s="1"/>
      <c r="D852" s="1"/>
      <c r="E852" s="1"/>
      <c r="F852" s="1"/>
      <c r="G852" s="1"/>
      <c r="H852" s="1"/>
      <c r="I852" s="1"/>
      <c r="J852" s="1"/>
      <c r="K852" s="1"/>
      <c r="L852" s="1"/>
      <c r="M852" s="1"/>
      <c r="N852" s="1"/>
      <c r="O852" s="1"/>
      <c r="Q852" s="1"/>
      <c r="R852" s="2"/>
      <c r="S852" s="1"/>
      <c r="T852" s="1"/>
      <c r="V852" s="1"/>
      <c r="W852" s="1"/>
      <c r="AJ852" s="1"/>
    </row>
    <row r="853" ht="14.25" customHeight="1" spans="1:36" x14ac:dyDescent="0.25">
      <c r="A853" s="1"/>
      <c r="B853" s="1"/>
      <c r="C853" s="1"/>
      <c r="D853" s="1"/>
      <c r="E853" s="1"/>
      <c r="F853" s="1"/>
      <c r="G853" s="1"/>
      <c r="H853" s="1"/>
      <c r="I853" s="1"/>
      <c r="J853" s="1"/>
      <c r="K853" s="1"/>
      <c r="L853" s="1"/>
      <c r="M853" s="1"/>
      <c r="N853" s="1"/>
      <c r="O853" s="1"/>
      <c r="Q853" s="1"/>
      <c r="R853" s="2"/>
      <c r="S853" s="1"/>
      <c r="T853" s="1"/>
      <c r="V853" s="1"/>
      <c r="W853" s="1"/>
      <c r="AJ853" s="1"/>
    </row>
    <row r="854" ht="14.25" customHeight="1" spans="1:36" x14ac:dyDescent="0.25">
      <c r="A854" s="1"/>
      <c r="B854" s="1"/>
      <c r="C854" s="1"/>
      <c r="D854" s="1"/>
      <c r="E854" s="1"/>
      <c r="F854" s="1"/>
      <c r="G854" s="1"/>
      <c r="H854" s="1"/>
      <c r="I854" s="1"/>
      <c r="J854" s="1"/>
      <c r="K854" s="1"/>
      <c r="L854" s="1"/>
      <c r="M854" s="1"/>
      <c r="N854" s="1"/>
      <c r="O854" s="1"/>
      <c r="Q854" s="1"/>
      <c r="R854" s="2"/>
      <c r="S854" s="1"/>
      <c r="T854" s="1"/>
      <c r="V854" s="1"/>
      <c r="W854" s="1"/>
      <c r="AJ854" s="1"/>
    </row>
    <row r="855" ht="14.25" customHeight="1" spans="1:36" x14ac:dyDescent="0.25">
      <c r="A855" s="1"/>
      <c r="B855" s="1"/>
      <c r="C855" s="1"/>
      <c r="D855" s="1"/>
      <c r="E855" s="1"/>
      <c r="F855" s="1"/>
      <c r="G855" s="1"/>
      <c r="H855" s="1"/>
      <c r="I855" s="1"/>
      <c r="J855" s="1"/>
      <c r="K855" s="1"/>
      <c r="L855" s="1"/>
      <c r="M855" s="1"/>
      <c r="N855" s="1"/>
      <c r="O855" s="1"/>
      <c r="Q855" s="1"/>
      <c r="R855" s="2"/>
      <c r="S855" s="1"/>
      <c r="T855" s="1"/>
      <c r="V855" s="1"/>
      <c r="W855" s="1"/>
      <c r="AJ855" s="1"/>
    </row>
    <row r="856" ht="14.25" customHeight="1" spans="1:36" x14ac:dyDescent="0.25">
      <c r="A856" s="1"/>
      <c r="B856" s="1"/>
      <c r="C856" s="1"/>
      <c r="D856" s="1"/>
      <c r="E856" s="1"/>
      <c r="F856" s="1"/>
      <c r="G856" s="1"/>
      <c r="H856" s="1"/>
      <c r="I856" s="1"/>
      <c r="J856" s="1"/>
      <c r="K856" s="1"/>
      <c r="L856" s="1"/>
      <c r="M856" s="1"/>
      <c r="N856" s="1"/>
      <c r="O856" s="1"/>
      <c r="Q856" s="1"/>
      <c r="R856" s="2"/>
      <c r="S856" s="1"/>
      <c r="T856" s="1"/>
      <c r="V856" s="1"/>
      <c r="W856" s="1"/>
      <c r="AJ856" s="1"/>
    </row>
    <row r="857" ht="14.25" customHeight="1" spans="1:36" x14ac:dyDescent="0.25">
      <c r="A857" s="1"/>
      <c r="B857" s="1"/>
      <c r="C857" s="1"/>
      <c r="D857" s="1"/>
      <c r="E857" s="1"/>
      <c r="F857" s="1"/>
      <c r="G857" s="1"/>
      <c r="H857" s="1"/>
      <c r="I857" s="1"/>
      <c r="J857" s="1"/>
      <c r="K857" s="1"/>
      <c r="L857" s="1"/>
      <c r="M857" s="1"/>
      <c r="N857" s="1"/>
      <c r="O857" s="1"/>
      <c r="Q857" s="1"/>
      <c r="R857" s="2"/>
      <c r="S857" s="1"/>
      <c r="T857" s="1"/>
      <c r="V857" s="1"/>
      <c r="W857" s="1"/>
      <c r="AJ857" s="1"/>
    </row>
    <row r="858" ht="14.25" customHeight="1" spans="1:36" x14ac:dyDescent="0.25">
      <c r="A858" s="1"/>
      <c r="B858" s="1"/>
      <c r="C858" s="1"/>
      <c r="D858" s="1"/>
      <c r="E858" s="1"/>
      <c r="F858" s="1"/>
      <c r="G858" s="1"/>
      <c r="H858" s="1"/>
      <c r="I858" s="1"/>
      <c r="J858" s="1"/>
      <c r="K858" s="1"/>
      <c r="L858" s="1"/>
      <c r="M858" s="1"/>
      <c r="N858" s="1"/>
      <c r="O858" s="1"/>
      <c r="Q858" s="1"/>
      <c r="R858" s="2"/>
      <c r="S858" s="1"/>
      <c r="T858" s="1"/>
      <c r="V858" s="1"/>
      <c r="W858" s="1"/>
      <c r="AJ858" s="1"/>
    </row>
    <row r="859" ht="14.25" customHeight="1" spans="1:36" x14ac:dyDescent="0.25">
      <c r="A859" s="1"/>
      <c r="B859" s="1"/>
      <c r="C859" s="1"/>
      <c r="D859" s="1"/>
      <c r="E859" s="1"/>
      <c r="F859" s="1"/>
      <c r="G859" s="1"/>
      <c r="H859" s="1"/>
      <c r="I859" s="1"/>
      <c r="J859" s="1"/>
      <c r="K859" s="1"/>
      <c r="L859" s="1"/>
      <c r="M859" s="1"/>
      <c r="N859" s="1"/>
      <c r="O859" s="1"/>
      <c r="Q859" s="1"/>
      <c r="R859" s="2"/>
      <c r="S859" s="1"/>
      <c r="T859" s="1"/>
      <c r="V859" s="1"/>
      <c r="W859" s="1"/>
      <c r="AJ859" s="1"/>
    </row>
    <row r="860" ht="14.25" customHeight="1" spans="1:36" x14ac:dyDescent="0.25">
      <c r="A860" s="1"/>
      <c r="B860" s="1"/>
      <c r="C860" s="1"/>
      <c r="D860" s="1"/>
      <c r="E860" s="1"/>
      <c r="F860" s="1"/>
      <c r="G860" s="1"/>
      <c r="H860" s="1"/>
      <c r="I860" s="1"/>
      <c r="J860" s="1"/>
      <c r="K860" s="1"/>
      <c r="L860" s="1"/>
      <c r="M860" s="1"/>
      <c r="N860" s="1"/>
      <c r="O860" s="1"/>
      <c r="Q860" s="1"/>
      <c r="R860" s="2"/>
      <c r="S860" s="1"/>
      <c r="T860" s="1"/>
      <c r="V860" s="1"/>
      <c r="W860" s="1"/>
      <c r="AJ860" s="1"/>
    </row>
    <row r="861" ht="14.25" customHeight="1" spans="1:36" x14ac:dyDescent="0.25">
      <c r="A861" s="1"/>
      <c r="B861" s="1"/>
      <c r="C861" s="1"/>
      <c r="D861" s="1"/>
      <c r="E861" s="1"/>
      <c r="F861" s="1"/>
      <c r="G861" s="1"/>
      <c r="H861" s="1"/>
      <c r="I861" s="1"/>
      <c r="J861" s="1"/>
      <c r="K861" s="1"/>
      <c r="L861" s="1"/>
      <c r="M861" s="1"/>
      <c r="N861" s="1"/>
      <c r="O861" s="1"/>
      <c r="Q861" s="1"/>
      <c r="R861" s="2"/>
      <c r="S861" s="1"/>
      <c r="T861" s="1"/>
      <c r="V861" s="1"/>
      <c r="W861" s="1"/>
      <c r="AJ861" s="1"/>
    </row>
    <row r="862" ht="14.25" customHeight="1" spans="1:36" x14ac:dyDescent="0.25">
      <c r="A862" s="1"/>
      <c r="B862" s="1"/>
      <c r="C862" s="1"/>
      <c r="D862" s="1"/>
      <c r="E862" s="1"/>
      <c r="F862" s="1"/>
      <c r="G862" s="1"/>
      <c r="H862" s="1"/>
      <c r="I862" s="1"/>
      <c r="J862" s="1"/>
      <c r="K862" s="1"/>
      <c r="L862" s="1"/>
      <c r="M862" s="1"/>
      <c r="N862" s="1"/>
      <c r="O862" s="1"/>
      <c r="Q862" s="1"/>
      <c r="R862" s="2"/>
      <c r="S862" s="1"/>
      <c r="T862" s="1"/>
      <c r="V862" s="1"/>
      <c r="W862" s="1"/>
      <c r="AJ862" s="1"/>
    </row>
    <row r="863" ht="14.25" customHeight="1" spans="1:36" x14ac:dyDescent="0.25">
      <c r="A863" s="1"/>
      <c r="B863" s="1"/>
      <c r="C863" s="1"/>
      <c r="D863" s="1"/>
      <c r="E863" s="1"/>
      <c r="F863" s="1"/>
      <c r="G863" s="1"/>
      <c r="H863" s="1"/>
      <c r="I863" s="1"/>
      <c r="J863" s="1"/>
      <c r="K863" s="1"/>
      <c r="L863" s="1"/>
      <c r="M863" s="1"/>
      <c r="N863" s="1"/>
      <c r="O863" s="1"/>
      <c r="Q863" s="1"/>
      <c r="R863" s="2"/>
      <c r="S863" s="1"/>
      <c r="T863" s="1"/>
      <c r="V863" s="1"/>
      <c r="W863" s="1"/>
      <c r="AJ863" s="1"/>
    </row>
    <row r="864" ht="14.25" customHeight="1" spans="1:36" x14ac:dyDescent="0.25">
      <c r="A864" s="1"/>
      <c r="B864" s="1"/>
      <c r="C864" s="1"/>
      <c r="D864" s="1"/>
      <c r="E864" s="1"/>
      <c r="F864" s="1"/>
      <c r="G864" s="1"/>
      <c r="H864" s="1"/>
      <c r="I864" s="1"/>
      <c r="J864" s="1"/>
      <c r="K864" s="1"/>
      <c r="L864" s="1"/>
      <c r="M864" s="1"/>
      <c r="N864" s="1"/>
      <c r="O864" s="1"/>
      <c r="Q864" s="1"/>
      <c r="R864" s="2"/>
      <c r="S864" s="1"/>
      <c r="T864" s="1"/>
      <c r="V864" s="1"/>
      <c r="W864" s="1"/>
      <c r="AJ864" s="1"/>
    </row>
    <row r="865" ht="14.25" customHeight="1" spans="1:36" x14ac:dyDescent="0.25">
      <c r="A865" s="1"/>
      <c r="B865" s="1"/>
      <c r="C865" s="1"/>
      <c r="D865" s="1"/>
      <c r="E865" s="1"/>
      <c r="F865" s="1"/>
      <c r="G865" s="1"/>
      <c r="H865" s="1"/>
      <c r="I865" s="1"/>
      <c r="J865" s="1"/>
      <c r="K865" s="1"/>
      <c r="L865" s="1"/>
      <c r="M865" s="1"/>
      <c r="N865" s="1"/>
      <c r="O865" s="1"/>
      <c r="Q865" s="1"/>
      <c r="R865" s="2"/>
      <c r="S865" s="1"/>
      <c r="T865" s="1"/>
      <c r="V865" s="1"/>
      <c r="W865" s="1"/>
      <c r="AJ865" s="1"/>
    </row>
    <row r="866" ht="14.25" customHeight="1" spans="1:36" x14ac:dyDescent="0.25">
      <c r="A866" s="1"/>
      <c r="B866" s="1"/>
      <c r="C866" s="1"/>
      <c r="D866" s="1"/>
      <c r="E866" s="1"/>
      <c r="F866" s="1"/>
      <c r="G866" s="1"/>
      <c r="H866" s="1"/>
      <c r="I866" s="1"/>
      <c r="J866" s="1"/>
      <c r="K866" s="1"/>
      <c r="L866" s="1"/>
      <c r="M866" s="1"/>
      <c r="N866" s="1"/>
      <c r="O866" s="1"/>
      <c r="Q866" s="1"/>
      <c r="R866" s="2"/>
      <c r="S866" s="1"/>
      <c r="T866" s="1"/>
      <c r="V866" s="1"/>
      <c r="W866" s="1"/>
      <c r="AJ866" s="1"/>
    </row>
    <row r="867" ht="14.25" customHeight="1" spans="1:36" x14ac:dyDescent="0.25">
      <c r="A867" s="1"/>
      <c r="B867" s="1"/>
      <c r="C867" s="1"/>
      <c r="D867" s="1"/>
      <c r="E867" s="1"/>
      <c r="F867" s="1"/>
      <c r="G867" s="1"/>
      <c r="H867" s="1"/>
      <c r="I867" s="1"/>
      <c r="J867" s="1"/>
      <c r="K867" s="1"/>
      <c r="L867" s="1"/>
      <c r="M867" s="1"/>
      <c r="N867" s="1"/>
      <c r="O867" s="1"/>
      <c r="Q867" s="1"/>
      <c r="R867" s="2"/>
      <c r="S867" s="1"/>
      <c r="T867" s="1"/>
      <c r="V867" s="1"/>
      <c r="W867" s="1"/>
      <c r="AJ867" s="1"/>
    </row>
    <row r="868" ht="14.25" customHeight="1" spans="1:36" x14ac:dyDescent="0.25">
      <c r="A868" s="1"/>
      <c r="B868" s="1"/>
      <c r="C868" s="1"/>
      <c r="D868" s="1"/>
      <c r="E868" s="1"/>
      <c r="F868" s="1"/>
      <c r="G868" s="1"/>
      <c r="H868" s="1"/>
      <c r="I868" s="1"/>
      <c r="J868" s="1"/>
      <c r="K868" s="1"/>
      <c r="L868" s="1"/>
      <c r="M868" s="1"/>
      <c r="N868" s="1"/>
      <c r="O868" s="1"/>
      <c r="Q868" s="1"/>
      <c r="R868" s="2"/>
      <c r="S868" s="1"/>
      <c r="T868" s="1"/>
      <c r="V868" s="1"/>
      <c r="W868" s="1"/>
      <c r="AJ868" s="1"/>
    </row>
    <row r="869" ht="14.25" customHeight="1" spans="1:36" x14ac:dyDescent="0.25">
      <c r="A869" s="1"/>
      <c r="B869" s="1"/>
      <c r="C869" s="1"/>
      <c r="D869" s="1"/>
      <c r="E869" s="1"/>
      <c r="F869" s="1"/>
      <c r="G869" s="1"/>
      <c r="H869" s="1"/>
      <c r="I869" s="1"/>
      <c r="J869" s="1"/>
      <c r="K869" s="1"/>
      <c r="L869" s="1"/>
      <c r="M869" s="1"/>
      <c r="N869" s="1"/>
      <c r="O869" s="1"/>
      <c r="Q869" s="1"/>
      <c r="R869" s="2"/>
      <c r="S869" s="1"/>
      <c r="T869" s="1"/>
      <c r="V869" s="1"/>
      <c r="W869" s="1"/>
      <c r="AJ869" s="1"/>
    </row>
    <row r="870" ht="14.25" customHeight="1" spans="1:36" x14ac:dyDescent="0.25">
      <c r="A870" s="1"/>
      <c r="B870" s="1"/>
      <c r="C870" s="1"/>
      <c r="D870" s="1"/>
      <c r="E870" s="1"/>
      <c r="F870" s="1"/>
      <c r="G870" s="1"/>
      <c r="H870" s="1"/>
      <c r="I870" s="1"/>
      <c r="J870" s="1"/>
      <c r="K870" s="1"/>
      <c r="L870" s="1"/>
      <c r="M870" s="1"/>
      <c r="N870" s="1"/>
      <c r="O870" s="1"/>
      <c r="Q870" s="1"/>
      <c r="R870" s="2"/>
      <c r="S870" s="1"/>
      <c r="T870" s="1"/>
      <c r="V870" s="1"/>
      <c r="W870" s="1"/>
      <c r="AJ870" s="1"/>
    </row>
    <row r="871" ht="14.25" customHeight="1" spans="1:36" x14ac:dyDescent="0.25">
      <c r="A871" s="1"/>
      <c r="B871" s="1"/>
      <c r="C871" s="1"/>
      <c r="D871" s="1"/>
      <c r="E871" s="1"/>
      <c r="F871" s="1"/>
      <c r="G871" s="1"/>
      <c r="H871" s="1"/>
      <c r="I871" s="1"/>
      <c r="J871" s="1"/>
      <c r="K871" s="1"/>
      <c r="L871" s="1"/>
      <c r="M871" s="1"/>
      <c r="N871" s="1"/>
      <c r="O871" s="1"/>
      <c r="Q871" s="1"/>
      <c r="R871" s="2"/>
      <c r="S871" s="1"/>
      <c r="T871" s="1"/>
      <c r="V871" s="1"/>
      <c r="W871" s="1"/>
      <c r="AJ871" s="1"/>
    </row>
    <row r="872" ht="14.25" customHeight="1" spans="1:36" x14ac:dyDescent="0.25">
      <c r="A872" s="1"/>
      <c r="B872" s="1"/>
      <c r="C872" s="1"/>
      <c r="D872" s="1"/>
      <c r="E872" s="1"/>
      <c r="F872" s="1"/>
      <c r="G872" s="1"/>
      <c r="H872" s="1"/>
      <c r="I872" s="1"/>
      <c r="J872" s="1"/>
      <c r="K872" s="1"/>
      <c r="L872" s="1"/>
      <c r="M872" s="1"/>
      <c r="N872" s="1"/>
      <c r="O872" s="1"/>
      <c r="Q872" s="1"/>
      <c r="R872" s="2"/>
      <c r="S872" s="1"/>
      <c r="T872" s="1"/>
      <c r="V872" s="1"/>
      <c r="W872" s="1"/>
      <c r="AJ872" s="1"/>
    </row>
    <row r="873" ht="14.25" customHeight="1" spans="1:36" x14ac:dyDescent="0.25">
      <c r="A873" s="1"/>
      <c r="B873" s="1"/>
      <c r="C873" s="1"/>
      <c r="D873" s="1"/>
      <c r="E873" s="1"/>
      <c r="F873" s="1"/>
      <c r="G873" s="1"/>
      <c r="H873" s="1"/>
      <c r="I873" s="1"/>
      <c r="J873" s="1"/>
      <c r="K873" s="1"/>
      <c r="L873" s="1"/>
      <c r="M873" s="1"/>
      <c r="N873" s="1"/>
      <c r="O873" s="1"/>
      <c r="Q873" s="1"/>
      <c r="R873" s="2"/>
      <c r="S873" s="1"/>
      <c r="T873" s="1"/>
      <c r="V873" s="1"/>
      <c r="W873" s="1"/>
      <c r="AJ873" s="1"/>
    </row>
    <row r="874" ht="14.25" customHeight="1" spans="1:36" x14ac:dyDescent="0.25">
      <c r="A874" s="1"/>
      <c r="B874" s="1"/>
      <c r="C874" s="1"/>
      <c r="D874" s="1"/>
      <c r="E874" s="1"/>
      <c r="F874" s="1"/>
      <c r="G874" s="1"/>
      <c r="H874" s="1"/>
      <c r="I874" s="1"/>
      <c r="J874" s="1"/>
      <c r="K874" s="1"/>
      <c r="L874" s="1"/>
      <c r="M874" s="1"/>
      <c r="N874" s="1"/>
      <c r="O874" s="1"/>
      <c r="Q874" s="1"/>
      <c r="R874" s="2"/>
      <c r="S874" s="1"/>
      <c r="T874" s="1"/>
      <c r="V874" s="1"/>
      <c r="W874" s="1"/>
      <c r="AJ874" s="1"/>
    </row>
    <row r="875" ht="14.25" customHeight="1" spans="1:36" x14ac:dyDescent="0.25">
      <c r="A875" s="1"/>
      <c r="B875" s="1"/>
      <c r="C875" s="1"/>
      <c r="D875" s="1"/>
      <c r="E875" s="1"/>
      <c r="F875" s="1"/>
      <c r="G875" s="1"/>
      <c r="H875" s="1"/>
      <c r="I875" s="1"/>
      <c r="J875" s="1"/>
      <c r="K875" s="1"/>
      <c r="L875" s="1"/>
      <c r="M875" s="1"/>
      <c r="N875" s="1"/>
      <c r="O875" s="1"/>
      <c r="Q875" s="1"/>
      <c r="R875" s="2"/>
      <c r="S875" s="1"/>
      <c r="T875" s="1"/>
      <c r="V875" s="1"/>
      <c r="W875" s="1"/>
      <c r="AJ875" s="1"/>
    </row>
    <row r="876" ht="14.25" customHeight="1" spans="1:36" x14ac:dyDescent="0.25">
      <c r="A876" s="1"/>
      <c r="B876" s="1"/>
      <c r="C876" s="1"/>
      <c r="D876" s="1"/>
      <c r="E876" s="1"/>
      <c r="F876" s="1"/>
      <c r="G876" s="1"/>
      <c r="H876" s="1"/>
      <c r="I876" s="1"/>
      <c r="J876" s="1"/>
      <c r="K876" s="1"/>
      <c r="L876" s="1"/>
      <c r="M876" s="1"/>
      <c r="N876" s="1"/>
      <c r="O876" s="1"/>
      <c r="Q876" s="1"/>
      <c r="R876" s="2"/>
      <c r="S876" s="1"/>
      <c r="T876" s="1"/>
      <c r="V876" s="1"/>
      <c r="W876" s="1"/>
      <c r="AJ876" s="1"/>
    </row>
    <row r="877" ht="14.25" customHeight="1" spans="1:36" x14ac:dyDescent="0.25">
      <c r="A877" s="1"/>
      <c r="B877" s="1"/>
      <c r="C877" s="1"/>
      <c r="D877" s="1"/>
      <c r="E877" s="1"/>
      <c r="F877" s="1"/>
      <c r="G877" s="1"/>
      <c r="H877" s="1"/>
      <c r="I877" s="1"/>
      <c r="J877" s="1"/>
      <c r="K877" s="1"/>
      <c r="L877" s="1"/>
      <c r="M877" s="1"/>
      <c r="N877" s="1"/>
      <c r="O877" s="1"/>
      <c r="Q877" s="1"/>
      <c r="R877" s="2"/>
      <c r="S877" s="1"/>
      <c r="T877" s="1"/>
      <c r="V877" s="1"/>
      <c r="W877" s="1"/>
      <c r="AJ877" s="1"/>
    </row>
    <row r="878" ht="14.25" customHeight="1" spans="1:36" x14ac:dyDescent="0.25">
      <c r="A878" s="1"/>
      <c r="B878" s="1"/>
      <c r="C878" s="1"/>
      <c r="D878" s="1"/>
      <c r="E878" s="1"/>
      <c r="F878" s="1"/>
      <c r="G878" s="1"/>
      <c r="H878" s="1"/>
      <c r="I878" s="1"/>
      <c r="J878" s="1"/>
      <c r="K878" s="1"/>
      <c r="L878" s="1"/>
      <c r="M878" s="1"/>
      <c r="N878" s="1"/>
      <c r="O878" s="1"/>
      <c r="Q878" s="1"/>
      <c r="R878" s="2"/>
      <c r="S878" s="1"/>
      <c r="T878" s="1"/>
      <c r="V878" s="1"/>
      <c r="W878" s="1"/>
      <c r="AJ878" s="1"/>
    </row>
    <row r="879" ht="14.25" customHeight="1" spans="1:36" x14ac:dyDescent="0.25">
      <c r="A879" s="1"/>
      <c r="B879" s="1"/>
      <c r="C879" s="1"/>
      <c r="D879" s="1"/>
      <c r="E879" s="1"/>
      <c r="F879" s="1"/>
      <c r="G879" s="1"/>
      <c r="H879" s="1"/>
      <c r="I879" s="1"/>
      <c r="J879" s="1"/>
      <c r="K879" s="1"/>
      <c r="L879" s="1"/>
      <c r="M879" s="1"/>
      <c r="N879" s="1"/>
      <c r="O879" s="1"/>
      <c r="Q879" s="1"/>
      <c r="R879" s="2"/>
      <c r="S879" s="1"/>
      <c r="T879" s="1"/>
      <c r="V879" s="1"/>
      <c r="W879" s="1"/>
      <c r="AJ879" s="1"/>
    </row>
    <row r="880" ht="14.25" customHeight="1" spans="1:36" x14ac:dyDescent="0.25">
      <c r="A880" s="1"/>
      <c r="B880" s="1"/>
      <c r="C880" s="1"/>
      <c r="D880" s="1"/>
      <c r="E880" s="1"/>
      <c r="F880" s="1"/>
      <c r="G880" s="1"/>
      <c r="H880" s="1"/>
      <c r="I880" s="1"/>
      <c r="J880" s="1"/>
      <c r="K880" s="1"/>
      <c r="L880" s="1"/>
      <c r="M880" s="1"/>
      <c r="N880" s="1"/>
      <c r="O880" s="1"/>
      <c r="Q880" s="1"/>
      <c r="R880" s="2"/>
      <c r="S880" s="1"/>
      <c r="T880" s="1"/>
      <c r="V880" s="1"/>
      <c r="W880" s="1"/>
      <c r="AJ880" s="1"/>
    </row>
    <row r="881" ht="14.25" customHeight="1" spans="1:36" x14ac:dyDescent="0.25">
      <c r="A881" s="1"/>
      <c r="B881" s="1"/>
      <c r="C881" s="1"/>
      <c r="D881" s="1"/>
      <c r="E881" s="1"/>
      <c r="F881" s="1"/>
      <c r="G881" s="1"/>
      <c r="H881" s="1"/>
      <c r="I881" s="1"/>
      <c r="J881" s="1"/>
      <c r="K881" s="1"/>
      <c r="L881" s="1"/>
      <c r="M881" s="1"/>
      <c r="N881" s="1"/>
      <c r="O881" s="1"/>
      <c r="Q881" s="1"/>
      <c r="R881" s="2"/>
      <c r="S881" s="1"/>
      <c r="T881" s="1"/>
      <c r="V881" s="1"/>
      <c r="W881" s="1"/>
      <c r="AJ881" s="1"/>
    </row>
    <row r="882" ht="14.25" customHeight="1" spans="1:36" x14ac:dyDescent="0.25">
      <c r="A882" s="1"/>
      <c r="B882" s="1"/>
      <c r="C882" s="1"/>
      <c r="D882" s="1"/>
      <c r="E882" s="1"/>
      <c r="F882" s="1"/>
      <c r="G882" s="1"/>
      <c r="H882" s="1"/>
      <c r="I882" s="1"/>
      <c r="J882" s="1"/>
      <c r="K882" s="1"/>
      <c r="L882" s="1"/>
      <c r="M882" s="1"/>
      <c r="N882" s="1"/>
      <c r="O882" s="1"/>
      <c r="Q882" s="1"/>
      <c r="R882" s="2"/>
      <c r="S882" s="1"/>
      <c r="T882" s="1"/>
      <c r="V882" s="1"/>
      <c r="W882" s="1"/>
      <c r="AJ882" s="1"/>
    </row>
    <row r="883" ht="14.25" customHeight="1" spans="1:36" x14ac:dyDescent="0.25">
      <c r="A883" s="1"/>
      <c r="B883" s="1"/>
      <c r="C883" s="1"/>
      <c r="D883" s="1"/>
      <c r="E883" s="1"/>
      <c r="F883" s="1"/>
      <c r="G883" s="1"/>
      <c r="H883" s="1"/>
      <c r="I883" s="1"/>
      <c r="J883" s="1"/>
      <c r="K883" s="1"/>
      <c r="L883" s="1"/>
      <c r="M883" s="1"/>
      <c r="N883" s="1"/>
      <c r="O883" s="1"/>
      <c r="Q883" s="1"/>
      <c r="R883" s="2"/>
      <c r="S883" s="1"/>
      <c r="T883" s="1"/>
      <c r="V883" s="1"/>
      <c r="W883" s="1"/>
      <c r="AJ883" s="1"/>
    </row>
    <row r="884" ht="14.25" customHeight="1" spans="1:36" x14ac:dyDescent="0.25">
      <c r="A884" s="1"/>
      <c r="B884" s="1"/>
      <c r="C884" s="1"/>
      <c r="D884" s="1"/>
      <c r="E884" s="1"/>
      <c r="F884" s="1"/>
      <c r="G884" s="1"/>
      <c r="H884" s="1"/>
      <c r="I884" s="1"/>
      <c r="J884" s="1"/>
      <c r="K884" s="1"/>
      <c r="L884" s="1"/>
      <c r="M884" s="1"/>
      <c r="N884" s="1"/>
      <c r="O884" s="1"/>
      <c r="Q884" s="1"/>
      <c r="R884" s="2"/>
      <c r="S884" s="1"/>
      <c r="T884" s="1"/>
      <c r="V884" s="1"/>
      <c r="W884" s="1"/>
      <c r="AJ884" s="1"/>
    </row>
    <row r="885" ht="14.25" customHeight="1" spans="1:36" x14ac:dyDescent="0.25">
      <c r="A885" s="1"/>
      <c r="B885" s="1"/>
      <c r="C885" s="1"/>
      <c r="D885" s="1"/>
      <c r="E885" s="1"/>
      <c r="F885" s="1"/>
      <c r="G885" s="1"/>
      <c r="H885" s="1"/>
      <c r="I885" s="1"/>
      <c r="J885" s="1"/>
      <c r="K885" s="1"/>
      <c r="L885" s="1"/>
      <c r="M885" s="1"/>
      <c r="N885" s="1"/>
      <c r="O885" s="1"/>
      <c r="Q885" s="1"/>
      <c r="R885" s="2"/>
      <c r="S885" s="1"/>
      <c r="T885" s="1"/>
      <c r="V885" s="1"/>
      <c r="W885" s="1"/>
      <c r="AJ885" s="1"/>
    </row>
    <row r="886" ht="14.25" customHeight="1" spans="1:36" x14ac:dyDescent="0.25">
      <c r="A886" s="1"/>
      <c r="B886" s="1"/>
      <c r="C886" s="1"/>
      <c r="D886" s="1"/>
      <c r="E886" s="1"/>
      <c r="F886" s="1"/>
      <c r="G886" s="1"/>
      <c r="H886" s="1"/>
      <c r="I886" s="1"/>
      <c r="J886" s="1"/>
      <c r="K886" s="1"/>
      <c r="L886" s="1"/>
      <c r="M886" s="1"/>
      <c r="N886" s="1"/>
      <c r="O886" s="1"/>
      <c r="Q886" s="1"/>
      <c r="R886" s="2"/>
      <c r="S886" s="1"/>
      <c r="T886" s="1"/>
      <c r="V886" s="1"/>
      <c r="W886" s="1"/>
      <c r="AJ886" s="1"/>
    </row>
    <row r="887" ht="14.25" customHeight="1" spans="1:36" x14ac:dyDescent="0.25">
      <c r="A887" s="1"/>
      <c r="B887" s="1"/>
      <c r="C887" s="1"/>
      <c r="D887" s="1"/>
      <c r="E887" s="1"/>
      <c r="F887" s="1"/>
      <c r="G887" s="1"/>
      <c r="H887" s="1"/>
      <c r="I887" s="1"/>
      <c r="J887" s="1"/>
      <c r="K887" s="1"/>
      <c r="L887" s="1"/>
      <c r="M887" s="1"/>
      <c r="N887" s="1"/>
      <c r="O887" s="1"/>
      <c r="Q887" s="1"/>
      <c r="R887" s="2"/>
      <c r="S887" s="1"/>
      <c r="T887" s="1"/>
      <c r="V887" s="1"/>
      <c r="W887" s="1"/>
      <c r="AJ887" s="1"/>
    </row>
    <row r="888" ht="14.25" customHeight="1" spans="1:36" x14ac:dyDescent="0.25">
      <c r="A888" s="1"/>
      <c r="B888" s="1"/>
      <c r="C888" s="1"/>
      <c r="D888" s="1"/>
      <c r="E888" s="1"/>
      <c r="F888" s="1"/>
      <c r="G888" s="1"/>
      <c r="H888" s="1"/>
      <c r="I888" s="1"/>
      <c r="J888" s="1"/>
      <c r="K888" s="1"/>
      <c r="L888" s="1"/>
      <c r="M888" s="1"/>
      <c r="N888" s="1"/>
      <c r="O888" s="1"/>
      <c r="Q888" s="1"/>
      <c r="R888" s="2"/>
      <c r="S888" s="1"/>
      <c r="T888" s="1"/>
      <c r="V888" s="1"/>
      <c r="W888" s="1"/>
      <c r="AJ888" s="1"/>
    </row>
    <row r="889" ht="14.25" customHeight="1" spans="1:36" x14ac:dyDescent="0.25">
      <c r="A889" s="1"/>
      <c r="B889" s="1"/>
      <c r="C889" s="1"/>
      <c r="D889" s="1"/>
      <c r="E889" s="1"/>
      <c r="F889" s="1"/>
      <c r="G889" s="1"/>
      <c r="H889" s="1"/>
      <c r="I889" s="1"/>
      <c r="J889" s="1"/>
      <c r="K889" s="1"/>
      <c r="L889" s="1"/>
      <c r="M889" s="1"/>
      <c r="N889" s="1"/>
      <c r="O889" s="1"/>
      <c r="Q889" s="1"/>
      <c r="R889" s="2"/>
      <c r="S889" s="1"/>
      <c r="T889" s="1"/>
      <c r="V889" s="1"/>
      <c r="W889" s="1"/>
      <c r="AJ889" s="1"/>
    </row>
    <row r="890" ht="14.25" customHeight="1" spans="1:36" x14ac:dyDescent="0.25">
      <c r="A890" s="1"/>
      <c r="B890" s="1"/>
      <c r="C890" s="1"/>
      <c r="D890" s="1"/>
      <c r="E890" s="1"/>
      <c r="F890" s="1"/>
      <c r="G890" s="1"/>
      <c r="H890" s="1"/>
      <c r="I890" s="1"/>
      <c r="J890" s="1"/>
      <c r="K890" s="1"/>
      <c r="L890" s="1"/>
      <c r="M890" s="1"/>
      <c r="N890" s="1"/>
      <c r="O890" s="1"/>
      <c r="Q890" s="1"/>
      <c r="R890" s="2"/>
      <c r="S890" s="1"/>
      <c r="T890" s="1"/>
      <c r="V890" s="1"/>
      <c r="W890" s="1"/>
      <c r="AJ890" s="1"/>
    </row>
    <row r="891" ht="14.25" customHeight="1" spans="1:36" x14ac:dyDescent="0.25">
      <c r="A891" s="1"/>
      <c r="B891" s="1"/>
      <c r="C891" s="1"/>
      <c r="D891" s="1"/>
      <c r="E891" s="1"/>
      <c r="F891" s="1"/>
      <c r="G891" s="1"/>
      <c r="H891" s="1"/>
      <c r="I891" s="1"/>
      <c r="J891" s="1"/>
      <c r="K891" s="1"/>
      <c r="L891" s="1"/>
      <c r="M891" s="1"/>
      <c r="N891" s="1"/>
      <c r="O891" s="1"/>
      <c r="Q891" s="1"/>
      <c r="R891" s="2"/>
      <c r="S891" s="1"/>
      <c r="T891" s="1"/>
      <c r="V891" s="1"/>
      <c r="W891" s="1"/>
      <c r="AJ891" s="1"/>
    </row>
    <row r="892" ht="14.25" customHeight="1" spans="1:36" x14ac:dyDescent="0.25">
      <c r="A892" s="1"/>
      <c r="B892" s="1"/>
      <c r="C892" s="1"/>
      <c r="D892" s="1"/>
      <c r="E892" s="1"/>
      <c r="F892" s="1"/>
      <c r="G892" s="1"/>
      <c r="H892" s="1"/>
      <c r="I892" s="1"/>
      <c r="J892" s="1"/>
      <c r="K892" s="1"/>
      <c r="L892" s="1"/>
      <c r="M892" s="1"/>
      <c r="N892" s="1"/>
      <c r="O892" s="1"/>
      <c r="Q892" s="1"/>
      <c r="R892" s="2"/>
      <c r="S892" s="1"/>
      <c r="T892" s="1"/>
      <c r="V892" s="1"/>
      <c r="W892" s="1"/>
      <c r="AJ892" s="1"/>
    </row>
    <row r="893" ht="14.25" customHeight="1" spans="1:36" x14ac:dyDescent="0.25">
      <c r="A893" s="1"/>
      <c r="B893" s="1"/>
      <c r="C893" s="1"/>
      <c r="D893" s="1"/>
      <c r="E893" s="1"/>
      <c r="F893" s="1"/>
      <c r="G893" s="1"/>
      <c r="H893" s="1"/>
      <c r="I893" s="1"/>
      <c r="J893" s="1"/>
      <c r="K893" s="1"/>
      <c r="L893" s="1"/>
      <c r="M893" s="1"/>
      <c r="N893" s="1"/>
      <c r="O893" s="1"/>
      <c r="Q893" s="1"/>
      <c r="R893" s="2"/>
      <c r="S893" s="1"/>
      <c r="T893" s="1"/>
      <c r="V893" s="1"/>
      <c r="W893" s="1"/>
      <c r="AJ893" s="1"/>
    </row>
    <row r="894" ht="14.25" customHeight="1" spans="1:36" x14ac:dyDescent="0.25">
      <c r="A894" s="1"/>
      <c r="B894" s="1"/>
      <c r="C894" s="1"/>
      <c r="D894" s="1"/>
      <c r="E894" s="1"/>
      <c r="F894" s="1"/>
      <c r="G894" s="1"/>
      <c r="H894" s="1"/>
      <c r="I894" s="1"/>
      <c r="J894" s="1"/>
      <c r="K894" s="1"/>
      <c r="L894" s="1"/>
      <c r="M894" s="1"/>
      <c r="N894" s="1"/>
      <c r="O894" s="1"/>
      <c r="Q894" s="1"/>
      <c r="R894" s="2"/>
      <c r="S894" s="1"/>
      <c r="T894" s="1"/>
      <c r="V894" s="1"/>
      <c r="W894" s="1"/>
      <c r="AJ894" s="1"/>
    </row>
    <row r="895" ht="14.25" customHeight="1" spans="1:36" x14ac:dyDescent="0.25">
      <c r="A895" s="1"/>
      <c r="B895" s="1"/>
      <c r="C895" s="1"/>
      <c r="D895" s="1"/>
      <c r="E895" s="1"/>
      <c r="F895" s="1"/>
      <c r="G895" s="1"/>
      <c r="H895" s="1"/>
      <c r="I895" s="1"/>
      <c r="J895" s="1"/>
      <c r="K895" s="1"/>
      <c r="L895" s="1"/>
      <c r="M895" s="1"/>
      <c r="N895" s="1"/>
      <c r="O895" s="1"/>
      <c r="Q895" s="1"/>
      <c r="R895" s="2"/>
      <c r="S895" s="1"/>
      <c r="T895" s="1"/>
      <c r="V895" s="1"/>
      <c r="W895" s="1"/>
      <c r="AJ895" s="1"/>
    </row>
    <row r="896" ht="14.25" customHeight="1" spans="1:36" x14ac:dyDescent="0.25">
      <c r="A896" s="1"/>
      <c r="B896" s="1"/>
      <c r="C896" s="1"/>
      <c r="D896" s="1"/>
      <c r="E896" s="1"/>
      <c r="F896" s="1"/>
      <c r="G896" s="1"/>
      <c r="H896" s="1"/>
      <c r="I896" s="1"/>
      <c r="J896" s="1"/>
      <c r="K896" s="1"/>
      <c r="L896" s="1"/>
      <c r="M896" s="1"/>
      <c r="N896" s="1"/>
      <c r="O896" s="1"/>
      <c r="Q896" s="1"/>
      <c r="R896" s="2"/>
      <c r="S896" s="1"/>
      <c r="T896" s="1"/>
      <c r="V896" s="1"/>
      <c r="W896" s="1"/>
      <c r="AJ896" s="1"/>
    </row>
    <row r="897" ht="14.25" customHeight="1" spans="1:36" x14ac:dyDescent="0.25">
      <c r="A897" s="1"/>
      <c r="B897" s="1"/>
      <c r="C897" s="1"/>
      <c r="D897" s="1"/>
      <c r="E897" s="1"/>
      <c r="F897" s="1"/>
      <c r="G897" s="1"/>
      <c r="H897" s="1"/>
      <c r="I897" s="1"/>
      <c r="J897" s="1"/>
      <c r="K897" s="1"/>
      <c r="L897" s="1"/>
      <c r="M897" s="1"/>
      <c r="N897" s="1"/>
      <c r="O897" s="1"/>
      <c r="Q897" s="1"/>
      <c r="R897" s="2"/>
      <c r="S897" s="1"/>
      <c r="T897" s="1"/>
      <c r="V897" s="1"/>
      <c r="W897" s="1"/>
      <c r="AJ897" s="1"/>
    </row>
    <row r="898" ht="14.25" customHeight="1" spans="1:36" x14ac:dyDescent="0.25">
      <c r="A898" s="1"/>
      <c r="B898" s="1"/>
      <c r="C898" s="1"/>
      <c r="D898" s="1"/>
      <c r="E898" s="1"/>
      <c r="F898" s="1"/>
      <c r="G898" s="1"/>
      <c r="H898" s="1"/>
      <c r="I898" s="1"/>
      <c r="J898" s="1"/>
      <c r="K898" s="1"/>
      <c r="L898" s="1"/>
      <c r="M898" s="1"/>
      <c r="N898" s="1"/>
      <c r="O898" s="1"/>
      <c r="Q898" s="1"/>
      <c r="R898" s="2"/>
      <c r="S898" s="1"/>
      <c r="T898" s="1"/>
      <c r="V898" s="1"/>
      <c r="W898" s="1"/>
      <c r="AJ898" s="1"/>
    </row>
    <row r="899" ht="14.25" customHeight="1" spans="1:36" x14ac:dyDescent="0.25">
      <c r="A899" s="1"/>
      <c r="B899" s="1"/>
      <c r="C899" s="1"/>
      <c r="D899" s="1"/>
      <c r="E899" s="1"/>
      <c r="F899" s="1"/>
      <c r="G899" s="1"/>
      <c r="H899" s="1"/>
      <c r="I899" s="1"/>
      <c r="J899" s="1"/>
      <c r="K899" s="1"/>
      <c r="L899" s="1"/>
      <c r="M899" s="1"/>
      <c r="N899" s="1"/>
      <c r="O899" s="1"/>
      <c r="Q899" s="1"/>
      <c r="R899" s="2"/>
      <c r="S899" s="1"/>
      <c r="T899" s="1"/>
      <c r="V899" s="1"/>
      <c r="W899" s="1"/>
      <c r="AJ899" s="1"/>
    </row>
    <row r="900" ht="14.25" customHeight="1" spans="1:36" x14ac:dyDescent="0.25">
      <c r="A900" s="1"/>
      <c r="B900" s="1"/>
      <c r="C900" s="1"/>
      <c r="D900" s="1"/>
      <c r="E900" s="1"/>
      <c r="F900" s="1"/>
      <c r="G900" s="1"/>
      <c r="H900" s="1"/>
      <c r="I900" s="1"/>
      <c r="J900" s="1"/>
      <c r="K900" s="1"/>
      <c r="L900" s="1"/>
      <c r="M900" s="1"/>
      <c r="N900" s="1"/>
      <c r="O900" s="1"/>
      <c r="Q900" s="1"/>
      <c r="R900" s="2"/>
      <c r="S900" s="1"/>
      <c r="T900" s="1"/>
      <c r="V900" s="1"/>
      <c r="W900" s="1"/>
      <c r="AJ900" s="1"/>
    </row>
    <row r="901" ht="14.25" customHeight="1" spans="1:36" x14ac:dyDescent="0.25">
      <c r="A901" s="1"/>
      <c r="B901" s="1"/>
      <c r="C901" s="1"/>
      <c r="D901" s="1"/>
      <c r="E901" s="1"/>
      <c r="F901" s="1"/>
      <c r="G901" s="1"/>
      <c r="H901" s="1"/>
      <c r="I901" s="1"/>
      <c r="J901" s="1"/>
      <c r="K901" s="1"/>
      <c r="L901" s="1"/>
      <c r="M901" s="1"/>
      <c r="N901" s="1"/>
      <c r="O901" s="1"/>
      <c r="Q901" s="1"/>
      <c r="R901" s="2"/>
      <c r="S901" s="1"/>
      <c r="T901" s="1"/>
      <c r="V901" s="1"/>
      <c r="W901" s="1"/>
      <c r="AJ901" s="1"/>
    </row>
    <row r="902" ht="14.25" customHeight="1" spans="1:36" x14ac:dyDescent="0.25">
      <c r="A902" s="1"/>
      <c r="B902" s="1"/>
      <c r="C902" s="1"/>
      <c r="D902" s="1"/>
      <c r="E902" s="1"/>
      <c r="F902" s="1"/>
      <c r="G902" s="1"/>
      <c r="H902" s="1"/>
      <c r="I902" s="1"/>
      <c r="J902" s="1"/>
      <c r="K902" s="1"/>
      <c r="L902" s="1"/>
      <c r="M902" s="1"/>
      <c r="N902" s="1"/>
      <c r="O902" s="1"/>
      <c r="Q902" s="1"/>
      <c r="R902" s="2"/>
      <c r="S902" s="1"/>
      <c r="T902" s="1"/>
      <c r="V902" s="1"/>
      <c r="W902" s="1"/>
      <c r="AJ902" s="1"/>
    </row>
    <row r="903" ht="14.25" customHeight="1" spans="1:36" x14ac:dyDescent="0.25">
      <c r="A903" s="1"/>
      <c r="B903" s="1"/>
      <c r="C903" s="1"/>
      <c r="D903" s="1"/>
      <c r="E903" s="1"/>
      <c r="F903" s="1"/>
      <c r="G903" s="1"/>
      <c r="H903" s="1"/>
      <c r="I903" s="1"/>
      <c r="J903" s="1"/>
      <c r="K903" s="1"/>
      <c r="L903" s="1"/>
      <c r="M903" s="1"/>
      <c r="N903" s="1"/>
      <c r="O903" s="1"/>
      <c r="Q903" s="1"/>
      <c r="R903" s="2"/>
      <c r="S903" s="1"/>
      <c r="T903" s="1"/>
      <c r="V903" s="1"/>
      <c r="W903" s="1"/>
      <c r="AJ903" s="1"/>
    </row>
    <row r="904" ht="14.25" customHeight="1" spans="1:36" x14ac:dyDescent="0.25">
      <c r="A904" s="1"/>
      <c r="B904" s="1"/>
      <c r="C904" s="1"/>
      <c r="D904" s="1"/>
      <c r="E904" s="1"/>
      <c r="F904" s="1"/>
      <c r="G904" s="1"/>
      <c r="H904" s="1"/>
      <c r="I904" s="1"/>
      <c r="J904" s="1"/>
      <c r="K904" s="1"/>
      <c r="L904" s="1"/>
      <c r="M904" s="1"/>
      <c r="N904" s="1"/>
      <c r="O904" s="1"/>
      <c r="Q904" s="1"/>
      <c r="R904" s="2"/>
      <c r="S904" s="1"/>
      <c r="T904" s="1"/>
      <c r="V904" s="1"/>
      <c r="W904" s="1"/>
      <c r="AJ904" s="1"/>
    </row>
    <row r="905" ht="14.25" customHeight="1" spans="1:36" x14ac:dyDescent="0.25">
      <c r="A905" s="1"/>
      <c r="B905" s="1"/>
      <c r="C905" s="1"/>
      <c r="D905" s="1"/>
      <c r="E905" s="1"/>
      <c r="F905" s="1"/>
      <c r="G905" s="1"/>
      <c r="H905" s="1"/>
      <c r="I905" s="1"/>
      <c r="J905" s="1"/>
      <c r="K905" s="1"/>
      <c r="L905" s="1"/>
      <c r="M905" s="1"/>
      <c r="N905" s="1"/>
      <c r="O905" s="1"/>
      <c r="Q905" s="1"/>
      <c r="R905" s="2"/>
      <c r="S905" s="1"/>
      <c r="T905" s="1"/>
      <c r="V905" s="1"/>
      <c r="W905" s="1"/>
      <c r="AJ905" s="1"/>
    </row>
    <row r="906" ht="14.25" customHeight="1" spans="1:36" x14ac:dyDescent="0.25">
      <c r="A906" s="1"/>
      <c r="B906" s="1"/>
      <c r="C906" s="1"/>
      <c r="D906" s="1"/>
      <c r="E906" s="1"/>
      <c r="F906" s="1"/>
      <c r="G906" s="1"/>
      <c r="H906" s="1"/>
      <c r="I906" s="1"/>
      <c r="J906" s="1"/>
      <c r="K906" s="1"/>
      <c r="L906" s="1"/>
      <c r="M906" s="1"/>
      <c r="N906" s="1"/>
      <c r="O906" s="1"/>
      <c r="Q906" s="1"/>
      <c r="R906" s="2"/>
      <c r="S906" s="1"/>
      <c r="T906" s="1"/>
      <c r="V906" s="1"/>
      <c r="W906" s="1"/>
      <c r="AJ906" s="1"/>
    </row>
    <row r="907" ht="14.25" customHeight="1" spans="1:36" x14ac:dyDescent="0.25">
      <c r="A907" s="1"/>
      <c r="B907" s="1"/>
      <c r="C907" s="1"/>
      <c r="D907" s="1"/>
      <c r="E907" s="1"/>
      <c r="F907" s="1"/>
      <c r="G907" s="1"/>
      <c r="H907" s="1"/>
      <c r="I907" s="1"/>
      <c r="J907" s="1"/>
      <c r="K907" s="1"/>
      <c r="L907" s="1"/>
      <c r="M907" s="1"/>
      <c r="N907" s="1"/>
      <c r="O907" s="1"/>
      <c r="Q907" s="1"/>
      <c r="R907" s="2"/>
      <c r="S907" s="1"/>
      <c r="T907" s="1"/>
      <c r="V907" s="1"/>
      <c r="W907" s="1"/>
      <c r="AJ907" s="1"/>
    </row>
    <row r="908" ht="14.25" customHeight="1" spans="1:36" x14ac:dyDescent="0.25">
      <c r="A908" s="1"/>
      <c r="B908" s="1"/>
      <c r="C908" s="1"/>
      <c r="D908" s="1"/>
      <c r="E908" s="1"/>
      <c r="F908" s="1"/>
      <c r="G908" s="1"/>
      <c r="H908" s="1"/>
      <c r="I908" s="1"/>
      <c r="J908" s="1"/>
      <c r="K908" s="1"/>
      <c r="L908" s="1"/>
      <c r="M908" s="1"/>
      <c r="N908" s="1"/>
      <c r="O908" s="1"/>
      <c r="Q908" s="1"/>
      <c r="R908" s="2"/>
      <c r="S908" s="1"/>
      <c r="T908" s="1"/>
      <c r="V908" s="1"/>
      <c r="W908" s="1"/>
      <c r="AJ908" s="1"/>
    </row>
    <row r="909" ht="14.25" customHeight="1" spans="1:36" x14ac:dyDescent="0.25">
      <c r="A909" s="1"/>
      <c r="B909" s="1"/>
      <c r="C909" s="1"/>
      <c r="D909" s="1"/>
      <c r="E909" s="1"/>
      <c r="F909" s="1"/>
      <c r="G909" s="1"/>
      <c r="H909" s="1"/>
      <c r="I909" s="1"/>
      <c r="J909" s="1"/>
      <c r="K909" s="1"/>
      <c r="L909" s="1"/>
      <c r="M909" s="1"/>
      <c r="N909" s="1"/>
      <c r="O909" s="1"/>
      <c r="Q909" s="1"/>
      <c r="R909" s="2"/>
      <c r="S909" s="1"/>
      <c r="T909" s="1"/>
      <c r="V909" s="1"/>
      <c r="W909" s="1"/>
      <c r="AJ909" s="1"/>
    </row>
    <row r="910" ht="14.25" customHeight="1" spans="1:36" x14ac:dyDescent="0.25">
      <c r="A910" s="1"/>
      <c r="B910" s="1"/>
      <c r="C910" s="1"/>
      <c r="D910" s="1"/>
      <c r="E910" s="1"/>
      <c r="F910" s="1"/>
      <c r="G910" s="1"/>
      <c r="H910" s="1"/>
      <c r="I910" s="1"/>
      <c r="J910" s="1"/>
      <c r="K910" s="1"/>
      <c r="L910" s="1"/>
      <c r="M910" s="1"/>
      <c r="N910" s="1"/>
      <c r="O910" s="1"/>
      <c r="Q910" s="1"/>
      <c r="R910" s="2"/>
      <c r="S910" s="1"/>
      <c r="T910" s="1"/>
      <c r="V910" s="1"/>
      <c r="W910" s="1"/>
      <c r="AJ910" s="1"/>
    </row>
    <row r="911" ht="14.25" customHeight="1" spans="1:36" x14ac:dyDescent="0.25">
      <c r="A911" s="1"/>
      <c r="B911" s="1"/>
      <c r="C911" s="1"/>
      <c r="D911" s="1"/>
      <c r="E911" s="1"/>
      <c r="F911" s="1"/>
      <c r="G911" s="1"/>
      <c r="H911" s="1"/>
      <c r="I911" s="1"/>
      <c r="J911" s="1"/>
      <c r="K911" s="1"/>
      <c r="L911" s="1"/>
      <c r="M911" s="1"/>
      <c r="N911" s="1"/>
      <c r="O911" s="1"/>
      <c r="Q911" s="1"/>
      <c r="R911" s="2"/>
      <c r="S911" s="1"/>
      <c r="T911" s="1"/>
      <c r="V911" s="1"/>
      <c r="W911" s="1"/>
      <c r="AJ911" s="1"/>
    </row>
    <row r="912" ht="14.25" customHeight="1" spans="1:36" x14ac:dyDescent="0.25">
      <c r="A912" s="1"/>
      <c r="B912" s="1"/>
      <c r="C912" s="1"/>
      <c r="D912" s="1"/>
      <c r="E912" s="1"/>
      <c r="F912" s="1"/>
      <c r="G912" s="1"/>
      <c r="H912" s="1"/>
      <c r="I912" s="1"/>
      <c r="J912" s="1"/>
      <c r="K912" s="1"/>
      <c r="L912" s="1"/>
      <c r="M912" s="1"/>
      <c r="N912" s="1"/>
      <c r="O912" s="1"/>
      <c r="Q912" s="1"/>
      <c r="R912" s="2"/>
      <c r="S912" s="1"/>
      <c r="T912" s="1"/>
      <c r="V912" s="1"/>
      <c r="W912" s="1"/>
      <c r="AJ912" s="1"/>
    </row>
    <row r="913" ht="14.25" customHeight="1" spans="1:36" x14ac:dyDescent="0.25">
      <c r="A913" s="1"/>
      <c r="B913" s="1"/>
      <c r="C913" s="1"/>
      <c r="D913" s="1"/>
      <c r="E913" s="1"/>
      <c r="F913" s="1"/>
      <c r="G913" s="1"/>
      <c r="H913" s="1"/>
      <c r="I913" s="1"/>
      <c r="J913" s="1"/>
      <c r="K913" s="1"/>
      <c r="L913" s="1"/>
      <c r="M913" s="1"/>
      <c r="N913" s="1"/>
      <c r="O913" s="1"/>
      <c r="Q913" s="1"/>
      <c r="R913" s="2"/>
      <c r="S913" s="1"/>
      <c r="T913" s="1"/>
      <c r="V913" s="1"/>
      <c r="W913" s="1"/>
      <c r="AJ913" s="1"/>
    </row>
    <row r="914" ht="14.25" customHeight="1" spans="1:36" x14ac:dyDescent="0.25">
      <c r="A914" s="1"/>
      <c r="B914" s="1"/>
      <c r="C914" s="1"/>
      <c r="D914" s="1"/>
      <c r="E914" s="1"/>
      <c r="F914" s="1"/>
      <c r="G914" s="1"/>
      <c r="H914" s="1"/>
      <c r="I914" s="1"/>
      <c r="J914" s="1"/>
      <c r="K914" s="1"/>
      <c r="L914" s="1"/>
      <c r="M914" s="1"/>
      <c r="N914" s="1"/>
      <c r="O914" s="1"/>
      <c r="Q914" s="1"/>
      <c r="R914" s="2"/>
      <c r="S914" s="1"/>
      <c r="T914" s="1"/>
      <c r="V914" s="1"/>
      <c r="W914" s="1"/>
      <c r="AJ914" s="1"/>
    </row>
    <row r="915" ht="14.25" customHeight="1" spans="1:36" x14ac:dyDescent="0.25">
      <c r="A915" s="1"/>
      <c r="B915" s="1"/>
      <c r="C915" s="1"/>
      <c r="D915" s="1"/>
      <c r="E915" s="1"/>
      <c r="F915" s="1"/>
      <c r="G915" s="1"/>
      <c r="H915" s="1"/>
      <c r="I915" s="1"/>
      <c r="J915" s="1"/>
      <c r="K915" s="1"/>
      <c r="L915" s="1"/>
      <c r="M915" s="1"/>
      <c r="N915" s="1"/>
      <c r="O915" s="1"/>
      <c r="Q915" s="1"/>
      <c r="R915" s="2"/>
      <c r="S915" s="1"/>
      <c r="T915" s="1"/>
      <c r="V915" s="1"/>
      <c r="W915" s="1"/>
      <c r="AJ915" s="1"/>
    </row>
    <row r="916" ht="14.25" customHeight="1" spans="1:36" x14ac:dyDescent="0.25">
      <c r="A916" s="1"/>
      <c r="B916" s="1"/>
      <c r="C916" s="1"/>
      <c r="D916" s="1"/>
      <c r="E916" s="1"/>
      <c r="F916" s="1"/>
      <c r="G916" s="1"/>
      <c r="H916" s="1"/>
      <c r="I916" s="1"/>
      <c r="J916" s="1"/>
      <c r="K916" s="1"/>
      <c r="L916" s="1"/>
      <c r="M916" s="1"/>
      <c r="N916" s="1"/>
      <c r="O916" s="1"/>
      <c r="Q916" s="1"/>
      <c r="R916" s="2"/>
      <c r="S916" s="1"/>
      <c r="T916" s="1"/>
      <c r="V916" s="1"/>
      <c r="W916" s="1"/>
      <c r="AJ916" s="1"/>
    </row>
    <row r="917" ht="14.25" customHeight="1" spans="1:36" x14ac:dyDescent="0.25">
      <c r="A917" s="1"/>
      <c r="B917" s="1"/>
      <c r="C917" s="1"/>
      <c r="D917" s="1"/>
      <c r="E917" s="1"/>
      <c r="F917" s="1"/>
      <c r="G917" s="1"/>
      <c r="H917" s="1"/>
      <c r="I917" s="1"/>
      <c r="J917" s="1"/>
      <c r="K917" s="1"/>
      <c r="L917" s="1"/>
      <c r="M917" s="1"/>
      <c r="N917" s="1"/>
      <c r="O917" s="1"/>
      <c r="Q917" s="1"/>
      <c r="R917" s="2"/>
      <c r="S917" s="1"/>
      <c r="T917" s="1"/>
      <c r="V917" s="1"/>
      <c r="W917" s="1"/>
      <c r="AJ917" s="1"/>
    </row>
    <row r="918" ht="14.25" customHeight="1" spans="1:36" x14ac:dyDescent="0.25">
      <c r="A918" s="1"/>
      <c r="B918" s="1"/>
      <c r="C918" s="1"/>
      <c r="D918" s="1"/>
      <c r="E918" s="1"/>
      <c r="F918" s="1"/>
      <c r="G918" s="1"/>
      <c r="H918" s="1"/>
      <c r="I918" s="1"/>
      <c r="J918" s="1"/>
      <c r="K918" s="1"/>
      <c r="L918" s="1"/>
      <c r="M918" s="1"/>
      <c r="N918" s="1"/>
      <c r="O918" s="1"/>
      <c r="Q918" s="1"/>
      <c r="R918" s="2"/>
      <c r="S918" s="1"/>
      <c r="T918" s="1"/>
      <c r="V918" s="1"/>
      <c r="W918" s="1"/>
      <c r="AJ918" s="1"/>
    </row>
    <row r="919" ht="14.25" customHeight="1" spans="1:36" x14ac:dyDescent="0.25">
      <c r="A919" s="1"/>
      <c r="B919" s="1"/>
      <c r="C919" s="1"/>
      <c r="D919" s="1"/>
      <c r="E919" s="1"/>
      <c r="F919" s="1"/>
      <c r="G919" s="1"/>
      <c r="H919" s="1"/>
      <c r="I919" s="1"/>
      <c r="J919" s="1"/>
      <c r="K919" s="1"/>
      <c r="L919" s="1"/>
      <c r="M919" s="1"/>
      <c r="N919" s="1"/>
      <c r="O919" s="1"/>
      <c r="Q919" s="1"/>
      <c r="R919" s="2"/>
      <c r="S919" s="1"/>
      <c r="T919" s="1"/>
      <c r="V919" s="1"/>
      <c r="W919" s="1"/>
      <c r="AJ919" s="1"/>
    </row>
    <row r="920" ht="14.25" customHeight="1" spans="1:36" x14ac:dyDescent="0.25">
      <c r="A920" s="1"/>
      <c r="B920" s="1"/>
      <c r="C920" s="1"/>
      <c r="D920" s="1"/>
      <c r="E920" s="1"/>
      <c r="F920" s="1"/>
      <c r="G920" s="1"/>
      <c r="H920" s="1"/>
      <c r="I920" s="1"/>
      <c r="J920" s="1"/>
      <c r="K920" s="1"/>
      <c r="L920" s="1"/>
      <c r="M920" s="1"/>
      <c r="N920" s="1"/>
      <c r="O920" s="1"/>
      <c r="Q920" s="1"/>
      <c r="R920" s="2"/>
      <c r="S920" s="1"/>
      <c r="T920" s="1"/>
      <c r="V920" s="1"/>
      <c r="W920" s="1"/>
      <c r="AJ920" s="1"/>
    </row>
    <row r="921" ht="14.25" customHeight="1" spans="1:36" x14ac:dyDescent="0.25">
      <c r="A921" s="1"/>
      <c r="B921" s="1"/>
      <c r="C921" s="1"/>
      <c r="D921" s="1"/>
      <c r="E921" s="1"/>
      <c r="F921" s="1"/>
      <c r="G921" s="1"/>
      <c r="H921" s="1"/>
      <c r="I921" s="1"/>
      <c r="J921" s="1"/>
      <c r="K921" s="1"/>
      <c r="L921" s="1"/>
      <c r="M921" s="1"/>
      <c r="N921" s="1"/>
      <c r="O921" s="1"/>
      <c r="Q921" s="1"/>
      <c r="R921" s="2"/>
      <c r="S921" s="1"/>
      <c r="T921" s="1"/>
      <c r="V921" s="1"/>
      <c r="W921" s="1"/>
      <c r="AJ921" s="1"/>
    </row>
    <row r="922" ht="14.25" customHeight="1" spans="1:36" x14ac:dyDescent="0.25">
      <c r="A922" s="1"/>
      <c r="B922" s="1"/>
      <c r="C922" s="1"/>
      <c r="D922" s="1"/>
      <c r="E922" s="1"/>
      <c r="F922" s="1"/>
      <c r="G922" s="1"/>
      <c r="H922" s="1"/>
      <c r="I922" s="1"/>
      <c r="J922" s="1"/>
      <c r="K922" s="1"/>
      <c r="L922" s="1"/>
      <c r="M922" s="1"/>
      <c r="N922" s="1"/>
      <c r="O922" s="1"/>
      <c r="Q922" s="1"/>
      <c r="R922" s="2"/>
      <c r="S922" s="1"/>
      <c r="T922" s="1"/>
      <c r="V922" s="1"/>
      <c r="W922" s="1"/>
      <c r="AJ922" s="1"/>
    </row>
    <row r="923" ht="14.25" customHeight="1" spans="1:36" x14ac:dyDescent="0.25">
      <c r="A923" s="1"/>
      <c r="B923" s="1"/>
      <c r="C923" s="1"/>
      <c r="D923" s="1"/>
      <c r="E923" s="1"/>
      <c r="F923" s="1"/>
      <c r="G923" s="1"/>
      <c r="H923" s="1"/>
      <c r="I923" s="1"/>
      <c r="J923" s="1"/>
      <c r="K923" s="1"/>
      <c r="L923" s="1"/>
      <c r="M923" s="1"/>
      <c r="N923" s="1"/>
      <c r="O923" s="1"/>
      <c r="Q923" s="1"/>
      <c r="R923" s="2"/>
      <c r="S923" s="1"/>
      <c r="T923" s="1"/>
      <c r="V923" s="1"/>
      <c r="W923" s="1"/>
      <c r="AJ923" s="1"/>
    </row>
    <row r="924" ht="14.25" customHeight="1" spans="1:36" x14ac:dyDescent="0.25">
      <c r="A924" s="1"/>
      <c r="B924" s="1"/>
      <c r="C924" s="1"/>
      <c r="D924" s="1"/>
      <c r="E924" s="1"/>
      <c r="F924" s="1"/>
      <c r="G924" s="1"/>
      <c r="H924" s="1"/>
      <c r="I924" s="1"/>
      <c r="J924" s="1"/>
      <c r="K924" s="1"/>
      <c r="L924" s="1"/>
      <c r="M924" s="1"/>
      <c r="N924" s="1"/>
      <c r="O924" s="1"/>
      <c r="Q924" s="1"/>
      <c r="R924" s="2"/>
      <c r="S924" s="1"/>
      <c r="T924" s="1"/>
      <c r="V924" s="1"/>
      <c r="W924" s="1"/>
      <c r="AJ924" s="1"/>
    </row>
    <row r="925" ht="14.25" customHeight="1" spans="1:36" x14ac:dyDescent="0.25">
      <c r="A925" s="1"/>
      <c r="B925" s="1"/>
      <c r="C925" s="1"/>
      <c r="D925" s="1"/>
      <c r="E925" s="1"/>
      <c r="F925" s="1"/>
      <c r="G925" s="1"/>
      <c r="H925" s="1"/>
      <c r="I925" s="1"/>
      <c r="J925" s="1"/>
      <c r="K925" s="1"/>
      <c r="L925" s="1"/>
      <c r="M925" s="1"/>
      <c r="N925" s="1"/>
      <c r="O925" s="1"/>
      <c r="Q925" s="1"/>
      <c r="R925" s="2"/>
      <c r="S925" s="1"/>
      <c r="T925" s="1"/>
      <c r="V925" s="1"/>
      <c r="W925" s="1"/>
      <c r="AJ925" s="1"/>
    </row>
    <row r="926" ht="14.25" customHeight="1" spans="1:36" x14ac:dyDescent="0.25">
      <c r="A926" s="1"/>
      <c r="B926" s="1"/>
      <c r="C926" s="1"/>
      <c r="D926" s="1"/>
      <c r="E926" s="1"/>
      <c r="F926" s="1"/>
      <c r="G926" s="1"/>
      <c r="H926" s="1"/>
      <c r="I926" s="1"/>
      <c r="J926" s="1"/>
      <c r="K926" s="1"/>
      <c r="L926" s="1"/>
      <c r="M926" s="1"/>
      <c r="N926" s="1"/>
      <c r="O926" s="1"/>
      <c r="Q926" s="1"/>
      <c r="R926" s="2"/>
      <c r="S926" s="1"/>
      <c r="T926" s="1"/>
      <c r="V926" s="1"/>
      <c r="W926" s="1"/>
      <c r="AJ926" s="1"/>
    </row>
    <row r="927" ht="14.25" customHeight="1" spans="1:36" x14ac:dyDescent="0.25">
      <c r="A927" s="1"/>
      <c r="B927" s="1"/>
      <c r="C927" s="1"/>
      <c r="D927" s="1"/>
      <c r="E927" s="1"/>
      <c r="F927" s="1"/>
      <c r="G927" s="1"/>
      <c r="H927" s="1"/>
      <c r="I927" s="1"/>
      <c r="J927" s="1"/>
      <c r="K927" s="1"/>
      <c r="L927" s="1"/>
      <c r="M927" s="1"/>
      <c r="N927" s="1"/>
      <c r="O927" s="1"/>
      <c r="Q927" s="1"/>
      <c r="R927" s="2"/>
      <c r="S927" s="1"/>
      <c r="T927" s="1"/>
      <c r="V927" s="1"/>
      <c r="W927" s="1"/>
      <c r="AJ927" s="1"/>
    </row>
    <row r="928" ht="14.25" customHeight="1" spans="1:36" x14ac:dyDescent="0.25">
      <c r="A928" s="1"/>
      <c r="B928" s="1"/>
      <c r="C928" s="1"/>
      <c r="D928" s="1"/>
      <c r="E928" s="1"/>
      <c r="F928" s="1"/>
      <c r="G928" s="1"/>
      <c r="H928" s="1"/>
      <c r="I928" s="1"/>
      <c r="J928" s="1"/>
      <c r="K928" s="1"/>
      <c r="L928" s="1"/>
      <c r="M928" s="1"/>
      <c r="N928" s="1"/>
      <c r="O928" s="1"/>
      <c r="Q928" s="1"/>
      <c r="R928" s="2"/>
      <c r="S928" s="1"/>
      <c r="T928" s="1"/>
      <c r="V928" s="1"/>
      <c r="W928" s="1"/>
      <c r="AJ928" s="1"/>
    </row>
    <row r="929" ht="14.25" customHeight="1" spans="1:36" x14ac:dyDescent="0.25">
      <c r="A929" s="1"/>
      <c r="B929" s="1"/>
      <c r="C929" s="1"/>
      <c r="D929" s="1"/>
      <c r="E929" s="1"/>
      <c r="F929" s="1"/>
      <c r="G929" s="1"/>
      <c r="H929" s="1"/>
      <c r="I929" s="1"/>
      <c r="J929" s="1"/>
      <c r="K929" s="1"/>
      <c r="L929" s="1"/>
      <c r="M929" s="1"/>
      <c r="N929" s="1"/>
      <c r="O929" s="1"/>
      <c r="Q929" s="1"/>
      <c r="R929" s="2"/>
      <c r="S929" s="1"/>
      <c r="T929" s="1"/>
      <c r="V929" s="1"/>
      <c r="W929" s="1"/>
      <c r="AJ929" s="1"/>
    </row>
    <row r="930" ht="14.25" customHeight="1" spans="1:36" x14ac:dyDescent="0.25">
      <c r="A930" s="1"/>
      <c r="B930" s="1"/>
      <c r="C930" s="1"/>
      <c r="D930" s="1"/>
      <c r="E930" s="1"/>
      <c r="F930" s="1"/>
      <c r="G930" s="1"/>
      <c r="H930" s="1"/>
      <c r="I930" s="1"/>
      <c r="J930" s="1"/>
      <c r="K930" s="1"/>
      <c r="L930" s="1"/>
      <c r="M930" s="1"/>
      <c r="N930" s="1"/>
      <c r="O930" s="1"/>
      <c r="Q930" s="1"/>
      <c r="R930" s="2"/>
      <c r="S930" s="1"/>
      <c r="T930" s="1"/>
      <c r="V930" s="1"/>
      <c r="W930" s="1"/>
      <c r="AJ930" s="1"/>
    </row>
    <row r="931" ht="14.25" customHeight="1" spans="1:36" x14ac:dyDescent="0.25">
      <c r="A931" s="1"/>
      <c r="B931" s="1"/>
      <c r="C931" s="1"/>
      <c r="D931" s="1"/>
      <c r="E931" s="1"/>
      <c r="F931" s="1"/>
      <c r="G931" s="1"/>
      <c r="H931" s="1"/>
      <c r="I931" s="1"/>
      <c r="J931" s="1"/>
      <c r="K931" s="1"/>
      <c r="L931" s="1"/>
      <c r="M931" s="1"/>
      <c r="N931" s="1"/>
      <c r="O931" s="1"/>
      <c r="Q931" s="1"/>
      <c r="R931" s="2"/>
      <c r="S931" s="1"/>
      <c r="T931" s="1"/>
      <c r="V931" s="1"/>
      <c r="W931" s="1"/>
      <c r="AJ931" s="1"/>
    </row>
    <row r="932" ht="14.25" customHeight="1" spans="1:36" x14ac:dyDescent="0.25">
      <c r="A932" s="1"/>
      <c r="B932" s="1"/>
      <c r="C932" s="1"/>
      <c r="D932" s="1"/>
      <c r="E932" s="1"/>
      <c r="F932" s="1"/>
      <c r="G932" s="1"/>
      <c r="H932" s="1"/>
      <c r="I932" s="1"/>
      <c r="J932" s="1"/>
      <c r="K932" s="1"/>
      <c r="L932" s="1"/>
      <c r="M932" s="1"/>
      <c r="N932" s="1"/>
      <c r="O932" s="1"/>
      <c r="Q932" s="1"/>
      <c r="R932" s="2"/>
      <c r="S932" s="1"/>
      <c r="T932" s="1"/>
      <c r="V932" s="1"/>
      <c r="W932" s="1"/>
      <c r="AJ932" s="1"/>
    </row>
    <row r="933" ht="14.25" customHeight="1" spans="1:36" x14ac:dyDescent="0.25">
      <c r="A933" s="1"/>
      <c r="B933" s="1"/>
      <c r="C933" s="1"/>
      <c r="D933" s="1"/>
      <c r="E933" s="1"/>
      <c r="F933" s="1"/>
      <c r="G933" s="1"/>
      <c r="H933" s="1"/>
      <c r="I933" s="1"/>
      <c r="J933" s="1"/>
      <c r="K933" s="1"/>
      <c r="L933" s="1"/>
      <c r="M933" s="1"/>
      <c r="N933" s="1"/>
      <c r="O933" s="1"/>
      <c r="Q933" s="1"/>
      <c r="R933" s="2"/>
      <c r="S933" s="1"/>
      <c r="T933" s="1"/>
      <c r="V933" s="1"/>
      <c r="W933" s="1"/>
      <c r="AJ933" s="1"/>
    </row>
    <row r="934" ht="14.25" customHeight="1" spans="1:36" x14ac:dyDescent="0.25">
      <c r="A934" s="1"/>
      <c r="B934" s="1"/>
      <c r="C934" s="1"/>
      <c r="D934" s="1"/>
      <c r="E934" s="1"/>
      <c r="F934" s="1"/>
      <c r="G934" s="1"/>
      <c r="H934" s="1"/>
      <c r="I934" s="1"/>
      <c r="J934" s="1"/>
      <c r="K934" s="1"/>
      <c r="L934" s="1"/>
      <c r="M934" s="1"/>
      <c r="N934" s="1"/>
      <c r="O934" s="1"/>
      <c r="Q934" s="1"/>
      <c r="R934" s="2"/>
      <c r="S934" s="1"/>
      <c r="T934" s="1"/>
      <c r="V934" s="1"/>
      <c r="W934" s="1"/>
      <c r="AJ934" s="1"/>
    </row>
    <row r="935" ht="14.25" customHeight="1" spans="1:36" x14ac:dyDescent="0.25">
      <c r="A935" s="1"/>
      <c r="B935" s="1"/>
      <c r="C935" s="1"/>
      <c r="D935" s="1"/>
      <c r="E935" s="1"/>
      <c r="F935" s="1"/>
      <c r="G935" s="1"/>
      <c r="H935" s="1"/>
      <c r="I935" s="1"/>
      <c r="J935" s="1"/>
      <c r="K935" s="1"/>
      <c r="L935" s="1"/>
      <c r="M935" s="1"/>
      <c r="N935" s="1"/>
      <c r="O935" s="1"/>
      <c r="Q935" s="1"/>
      <c r="R935" s="2"/>
      <c r="S935" s="1"/>
      <c r="T935" s="1"/>
      <c r="V935" s="1"/>
      <c r="W935" s="1"/>
      <c r="AJ935" s="1"/>
    </row>
    <row r="936" ht="14.25" customHeight="1" spans="1:36" x14ac:dyDescent="0.25">
      <c r="A936" s="1"/>
      <c r="B936" s="1"/>
      <c r="C936" s="1"/>
      <c r="D936" s="1"/>
      <c r="E936" s="1"/>
      <c r="F936" s="1"/>
      <c r="G936" s="1"/>
      <c r="H936" s="1"/>
      <c r="I936" s="1"/>
      <c r="J936" s="1"/>
      <c r="K936" s="1"/>
      <c r="L936" s="1"/>
      <c r="M936" s="1"/>
      <c r="N936" s="1"/>
      <c r="O936" s="1"/>
      <c r="Q936" s="1"/>
      <c r="R936" s="2"/>
      <c r="S936" s="1"/>
      <c r="T936" s="1"/>
      <c r="V936" s="1"/>
      <c r="W936" s="1"/>
      <c r="AJ936" s="1"/>
    </row>
    <row r="937" ht="14.25" customHeight="1" spans="1:36" x14ac:dyDescent="0.25">
      <c r="A937" s="1"/>
      <c r="B937" s="1"/>
      <c r="C937" s="1"/>
      <c r="D937" s="1"/>
      <c r="E937" s="1"/>
      <c r="F937" s="1"/>
      <c r="G937" s="1"/>
      <c r="H937" s="1"/>
      <c r="I937" s="1"/>
      <c r="J937" s="1"/>
      <c r="K937" s="1"/>
      <c r="L937" s="1"/>
      <c r="M937" s="1"/>
      <c r="N937" s="1"/>
      <c r="O937" s="1"/>
      <c r="Q937" s="1"/>
      <c r="R937" s="2"/>
      <c r="S937" s="1"/>
      <c r="T937" s="1"/>
      <c r="V937" s="1"/>
      <c r="W937" s="1"/>
      <c r="AJ937" s="1"/>
    </row>
    <row r="938" ht="14.25" customHeight="1" spans="1:36" x14ac:dyDescent="0.25">
      <c r="A938" s="1"/>
      <c r="B938" s="1"/>
      <c r="C938" s="1"/>
      <c r="D938" s="1"/>
      <c r="E938" s="1"/>
      <c r="F938" s="1"/>
      <c r="G938" s="1"/>
      <c r="H938" s="1"/>
      <c r="I938" s="1"/>
      <c r="J938" s="1"/>
      <c r="K938" s="1"/>
      <c r="L938" s="1"/>
      <c r="M938" s="1"/>
      <c r="N938" s="1"/>
      <c r="O938" s="1"/>
      <c r="Q938" s="1"/>
      <c r="R938" s="2"/>
      <c r="S938" s="1"/>
      <c r="T938" s="1"/>
      <c r="V938" s="1"/>
      <c r="W938" s="1"/>
      <c r="AJ938" s="1"/>
    </row>
    <row r="939" ht="14.25" customHeight="1" spans="1:36" x14ac:dyDescent="0.25">
      <c r="A939" s="1"/>
      <c r="B939" s="1"/>
      <c r="C939" s="1"/>
      <c r="D939" s="1"/>
      <c r="E939" s="1"/>
      <c r="F939" s="1"/>
      <c r="G939" s="1"/>
      <c r="H939" s="1"/>
      <c r="I939" s="1"/>
      <c r="J939" s="1"/>
      <c r="K939" s="1"/>
      <c r="L939" s="1"/>
      <c r="M939" s="1"/>
      <c r="N939" s="1"/>
      <c r="O939" s="1"/>
      <c r="Q939" s="1"/>
      <c r="R939" s="2"/>
      <c r="S939" s="1"/>
      <c r="T939" s="1"/>
      <c r="V939" s="1"/>
      <c r="W939" s="1"/>
      <c r="AJ939" s="1"/>
    </row>
    <row r="940" ht="14.25" customHeight="1" spans="1:36" x14ac:dyDescent="0.25">
      <c r="A940" s="1"/>
      <c r="B940" s="1"/>
      <c r="C940" s="1"/>
      <c r="D940" s="1"/>
      <c r="E940" s="1"/>
      <c r="F940" s="1"/>
      <c r="G940" s="1"/>
      <c r="H940" s="1"/>
      <c r="I940" s="1"/>
      <c r="J940" s="1"/>
      <c r="K940" s="1"/>
      <c r="L940" s="1"/>
      <c r="M940" s="1"/>
      <c r="N940" s="1"/>
      <c r="O940" s="1"/>
      <c r="Q940" s="1"/>
      <c r="R940" s="2"/>
      <c r="S940" s="1"/>
      <c r="T940" s="1"/>
      <c r="V940" s="1"/>
      <c r="W940" s="1"/>
      <c r="AJ940" s="1"/>
    </row>
    <row r="941" ht="14.25" customHeight="1" spans="1:36" x14ac:dyDescent="0.25">
      <c r="A941" s="1"/>
      <c r="B941" s="1"/>
      <c r="C941" s="1"/>
      <c r="D941" s="1"/>
      <c r="E941" s="1"/>
      <c r="F941" s="1"/>
      <c r="G941" s="1"/>
      <c r="H941" s="1"/>
      <c r="I941" s="1"/>
      <c r="J941" s="1"/>
      <c r="K941" s="1"/>
      <c r="L941" s="1"/>
      <c r="M941" s="1"/>
      <c r="N941" s="1"/>
      <c r="O941" s="1"/>
      <c r="Q941" s="1"/>
      <c r="R941" s="2"/>
      <c r="S941" s="1"/>
      <c r="T941" s="1"/>
      <c r="V941" s="1"/>
      <c r="W941" s="1"/>
      <c r="AJ941" s="1"/>
    </row>
    <row r="942" ht="14.25" customHeight="1" spans="1:36" x14ac:dyDescent="0.25">
      <c r="A942" s="1"/>
      <c r="B942" s="1"/>
      <c r="C942" s="1"/>
      <c r="D942" s="1"/>
      <c r="E942" s="1"/>
      <c r="F942" s="1"/>
      <c r="G942" s="1"/>
      <c r="H942" s="1"/>
      <c r="I942" s="1"/>
      <c r="J942" s="1"/>
      <c r="K942" s="1"/>
      <c r="L942" s="1"/>
      <c r="M942" s="1"/>
      <c r="N942" s="1"/>
      <c r="O942" s="1"/>
      <c r="Q942" s="1"/>
      <c r="R942" s="2"/>
      <c r="S942" s="1"/>
      <c r="T942" s="1"/>
      <c r="V942" s="1"/>
      <c r="W942" s="1"/>
      <c r="AJ942" s="1"/>
    </row>
    <row r="943" ht="14.25" customHeight="1" spans="1:36" x14ac:dyDescent="0.25">
      <c r="A943" s="1"/>
      <c r="B943" s="1"/>
      <c r="C943" s="1"/>
      <c r="D943" s="1"/>
      <c r="E943" s="1"/>
      <c r="F943" s="1"/>
      <c r="G943" s="1"/>
      <c r="H943" s="1"/>
      <c r="I943" s="1"/>
      <c r="J943" s="1"/>
      <c r="K943" s="1"/>
      <c r="L943" s="1"/>
      <c r="M943" s="1"/>
      <c r="N943" s="1"/>
      <c r="O943" s="1"/>
      <c r="Q943" s="1"/>
      <c r="R943" s="2"/>
      <c r="S943" s="1"/>
      <c r="T943" s="1"/>
      <c r="V943" s="1"/>
      <c r="W943" s="1"/>
      <c r="AJ943" s="1"/>
    </row>
    <row r="944" ht="14.25" customHeight="1" spans="1:36" x14ac:dyDescent="0.25">
      <c r="A944" s="1"/>
      <c r="B944" s="1"/>
      <c r="C944" s="1"/>
      <c r="D944" s="1"/>
      <c r="E944" s="1"/>
      <c r="F944" s="1"/>
      <c r="G944" s="1"/>
      <c r="H944" s="1"/>
      <c r="I944" s="1"/>
      <c r="J944" s="1"/>
      <c r="K944" s="1"/>
      <c r="L944" s="1"/>
      <c r="M944" s="1"/>
      <c r="N944" s="1"/>
      <c r="O944" s="1"/>
      <c r="Q944" s="1"/>
      <c r="R944" s="2"/>
      <c r="S944" s="1"/>
      <c r="T944" s="1"/>
      <c r="V944" s="1"/>
      <c r="W944" s="1"/>
      <c r="AJ944" s="1"/>
    </row>
    <row r="945" ht="14.25" customHeight="1" spans="1:36" x14ac:dyDescent="0.25">
      <c r="A945" s="1"/>
      <c r="B945" s="1"/>
      <c r="C945" s="1"/>
      <c r="D945" s="1"/>
      <c r="E945" s="1"/>
      <c r="F945" s="1"/>
      <c r="G945" s="1"/>
      <c r="H945" s="1"/>
      <c r="I945" s="1"/>
      <c r="J945" s="1"/>
      <c r="K945" s="1"/>
      <c r="L945" s="1"/>
      <c r="M945" s="1"/>
      <c r="N945" s="1"/>
      <c r="O945" s="1"/>
      <c r="Q945" s="1"/>
      <c r="R945" s="2"/>
      <c r="S945" s="1"/>
      <c r="T945" s="1"/>
      <c r="V945" s="1"/>
      <c r="W945" s="1"/>
      <c r="AJ945" s="1"/>
    </row>
    <row r="946" ht="14.25" customHeight="1" spans="1:36" x14ac:dyDescent="0.25">
      <c r="A946" s="1"/>
      <c r="B946" s="1"/>
      <c r="C946" s="1"/>
      <c r="D946" s="1"/>
      <c r="E946" s="1"/>
      <c r="F946" s="1"/>
      <c r="G946" s="1"/>
      <c r="H946" s="1"/>
      <c r="I946" s="1"/>
      <c r="J946" s="1"/>
      <c r="K946" s="1"/>
      <c r="L946" s="1"/>
      <c r="M946" s="1"/>
      <c r="N946" s="1"/>
      <c r="O946" s="1"/>
      <c r="Q946" s="1"/>
      <c r="R946" s="2"/>
      <c r="S946" s="1"/>
      <c r="T946" s="1"/>
      <c r="V946" s="1"/>
      <c r="W946" s="1"/>
      <c r="AJ946" s="1"/>
    </row>
    <row r="947" ht="14.25" customHeight="1" spans="1:36" x14ac:dyDescent="0.25">
      <c r="A947" s="1"/>
      <c r="B947" s="1"/>
      <c r="C947" s="1"/>
      <c r="D947" s="1"/>
      <c r="E947" s="1"/>
      <c r="F947" s="1"/>
      <c r="G947" s="1"/>
      <c r="H947" s="1"/>
      <c r="I947" s="1"/>
      <c r="J947" s="1"/>
      <c r="K947" s="1"/>
      <c r="L947" s="1"/>
      <c r="M947" s="1"/>
      <c r="N947" s="1"/>
      <c r="O947" s="1"/>
      <c r="Q947" s="1"/>
      <c r="R947" s="2"/>
      <c r="S947" s="1"/>
      <c r="T947" s="1"/>
      <c r="V947" s="1"/>
      <c r="W947" s="1"/>
      <c r="AJ947" s="1"/>
    </row>
    <row r="948" ht="14.25" customHeight="1" spans="1:36" x14ac:dyDescent="0.25">
      <c r="A948" s="1"/>
      <c r="B948" s="1"/>
      <c r="C948" s="1"/>
      <c r="D948" s="1"/>
      <c r="E948" s="1"/>
      <c r="F948" s="1"/>
      <c r="G948" s="1"/>
      <c r="H948" s="1"/>
      <c r="I948" s="1"/>
      <c r="J948" s="1"/>
      <c r="K948" s="1"/>
      <c r="L948" s="1"/>
      <c r="M948" s="1"/>
      <c r="N948" s="1"/>
      <c r="O948" s="1"/>
      <c r="Q948" s="1"/>
      <c r="R948" s="2"/>
      <c r="S948" s="1"/>
      <c r="T948" s="1"/>
      <c r="V948" s="1"/>
      <c r="W948" s="1"/>
      <c r="AJ948" s="1"/>
    </row>
    <row r="949" ht="14.25" customHeight="1" spans="1:36" x14ac:dyDescent="0.25">
      <c r="A949" s="1"/>
      <c r="B949" s="1"/>
      <c r="C949" s="1"/>
      <c r="D949" s="1"/>
      <c r="E949" s="1"/>
      <c r="F949" s="1"/>
      <c r="G949" s="1"/>
      <c r="H949" s="1"/>
      <c r="I949" s="1"/>
      <c r="J949" s="1"/>
      <c r="K949" s="1"/>
      <c r="L949" s="1"/>
      <c r="M949" s="1"/>
      <c r="N949" s="1"/>
      <c r="O949" s="1"/>
      <c r="Q949" s="1"/>
      <c r="R949" s="2"/>
      <c r="S949" s="1"/>
      <c r="T949" s="1"/>
      <c r="V949" s="1"/>
      <c r="W949" s="1"/>
      <c r="AJ949" s="1"/>
    </row>
    <row r="950" ht="14.25" customHeight="1" spans="1:36" x14ac:dyDescent="0.25">
      <c r="A950" s="1"/>
      <c r="B950" s="1"/>
      <c r="C950" s="1"/>
      <c r="D950" s="1"/>
      <c r="E950" s="1"/>
      <c r="F950" s="1"/>
      <c r="G950" s="1"/>
      <c r="H950" s="1"/>
      <c r="I950" s="1"/>
      <c r="J950" s="1"/>
      <c r="K950" s="1"/>
      <c r="L950" s="1"/>
      <c r="M950" s="1"/>
      <c r="N950" s="1"/>
      <c r="O950" s="1"/>
      <c r="Q950" s="1"/>
      <c r="R950" s="2"/>
      <c r="S950" s="1"/>
      <c r="T950" s="1"/>
      <c r="V950" s="1"/>
      <c r="W950" s="1"/>
      <c r="AJ950" s="1"/>
    </row>
    <row r="951" ht="14.25" customHeight="1" spans="1:36" x14ac:dyDescent="0.25">
      <c r="A951" s="1"/>
      <c r="B951" s="1"/>
      <c r="C951" s="1"/>
      <c r="D951" s="1"/>
      <c r="E951" s="1"/>
      <c r="F951" s="1"/>
      <c r="G951" s="1"/>
      <c r="H951" s="1"/>
      <c r="I951" s="1"/>
      <c r="J951" s="1"/>
      <c r="K951" s="1"/>
      <c r="L951" s="1"/>
      <c r="M951" s="1"/>
      <c r="N951" s="1"/>
      <c r="O951" s="1"/>
      <c r="Q951" s="1"/>
      <c r="R951" s="2"/>
      <c r="S951" s="1"/>
      <c r="T951" s="1"/>
      <c r="V951" s="1"/>
      <c r="W951" s="1"/>
      <c r="AJ951" s="1"/>
    </row>
    <row r="952" ht="14.25" customHeight="1" spans="1:36" x14ac:dyDescent="0.25">
      <c r="A952" s="1"/>
      <c r="B952" s="1"/>
      <c r="C952" s="1"/>
      <c r="D952" s="1"/>
      <c r="E952" s="1"/>
      <c r="F952" s="1"/>
      <c r="G952" s="1"/>
      <c r="H952" s="1"/>
      <c r="I952" s="1"/>
      <c r="J952" s="1"/>
      <c r="K952" s="1"/>
      <c r="L952" s="1"/>
      <c r="M952" s="1"/>
      <c r="N952" s="1"/>
      <c r="O952" s="1"/>
      <c r="Q952" s="1"/>
      <c r="R952" s="2"/>
      <c r="S952" s="1"/>
      <c r="T952" s="1"/>
      <c r="V952" s="1"/>
      <c r="W952" s="1"/>
      <c r="AJ952" s="1"/>
    </row>
    <row r="953" ht="14.25" customHeight="1" spans="1:36" x14ac:dyDescent="0.25">
      <c r="A953" s="1"/>
      <c r="B953" s="1"/>
      <c r="C953" s="1"/>
      <c r="D953" s="1"/>
      <c r="E953" s="1"/>
      <c r="F953" s="1"/>
      <c r="G953" s="1"/>
      <c r="H953" s="1"/>
      <c r="I953" s="1"/>
      <c r="J953" s="1"/>
      <c r="K953" s="1"/>
      <c r="L953" s="1"/>
      <c r="M953" s="1"/>
      <c r="N953" s="1"/>
      <c r="O953" s="1"/>
      <c r="Q953" s="1"/>
      <c r="R953" s="2"/>
      <c r="S953" s="1"/>
      <c r="T953" s="1"/>
      <c r="V953" s="1"/>
      <c r="W953" s="1"/>
      <c r="AJ953" s="1"/>
    </row>
    <row r="954" ht="14.25" customHeight="1" spans="1:36" x14ac:dyDescent="0.25">
      <c r="A954" s="1"/>
      <c r="B954" s="1"/>
      <c r="C954" s="1"/>
      <c r="D954" s="1"/>
      <c r="E954" s="1"/>
      <c r="F954" s="1"/>
      <c r="G954" s="1"/>
      <c r="H954" s="1"/>
      <c r="I954" s="1"/>
      <c r="J954" s="1"/>
      <c r="K954" s="1"/>
      <c r="L954" s="1"/>
      <c r="M954" s="1"/>
      <c r="N954" s="1"/>
      <c r="O954" s="1"/>
      <c r="Q954" s="1"/>
      <c r="R954" s="2"/>
      <c r="S954" s="1"/>
      <c r="T954" s="1"/>
      <c r="V954" s="1"/>
      <c r="W954" s="1"/>
      <c r="AJ954" s="1"/>
    </row>
    <row r="955" ht="14.25" customHeight="1" spans="1:36" x14ac:dyDescent="0.25">
      <c r="A955" s="1"/>
      <c r="B955" s="1"/>
      <c r="C955" s="1"/>
      <c r="D955" s="1"/>
      <c r="E955" s="1"/>
      <c r="F955" s="1"/>
      <c r="G955" s="1"/>
      <c r="H955" s="1"/>
      <c r="I955" s="1"/>
      <c r="J955" s="1"/>
      <c r="K955" s="1"/>
      <c r="L955" s="1"/>
      <c r="M955" s="1"/>
      <c r="N955" s="1"/>
      <c r="O955" s="1"/>
      <c r="Q955" s="1"/>
      <c r="R955" s="2"/>
      <c r="S955" s="1"/>
      <c r="T955" s="1"/>
      <c r="V955" s="1"/>
      <c r="W955" s="1"/>
      <c r="AJ955" s="1"/>
    </row>
    <row r="956" ht="14.25" customHeight="1" spans="1:36" x14ac:dyDescent="0.25">
      <c r="A956" s="1"/>
      <c r="B956" s="1"/>
      <c r="C956" s="1"/>
      <c r="D956" s="1"/>
      <c r="E956" s="1"/>
      <c r="F956" s="1"/>
      <c r="G956" s="1"/>
      <c r="H956" s="1"/>
      <c r="I956" s="1"/>
      <c r="J956" s="1"/>
      <c r="K956" s="1"/>
      <c r="L956" s="1"/>
      <c r="M956" s="1"/>
      <c r="N956" s="1"/>
      <c r="O956" s="1"/>
      <c r="Q956" s="1"/>
      <c r="R956" s="2"/>
      <c r="S956" s="1"/>
      <c r="T956" s="1"/>
      <c r="V956" s="1"/>
      <c r="W956" s="1"/>
      <c r="AJ956" s="1"/>
    </row>
    <row r="957" ht="14.25" customHeight="1" spans="1:36" x14ac:dyDescent="0.25">
      <c r="A957" s="1"/>
      <c r="B957" s="1"/>
      <c r="C957" s="1"/>
      <c r="D957" s="1"/>
      <c r="E957" s="1"/>
      <c r="F957" s="1"/>
      <c r="G957" s="1"/>
      <c r="H957" s="1"/>
      <c r="I957" s="1"/>
      <c r="J957" s="1"/>
      <c r="K957" s="1"/>
      <c r="L957" s="1"/>
      <c r="M957" s="1"/>
      <c r="N957" s="1"/>
      <c r="O957" s="1"/>
      <c r="Q957" s="1"/>
      <c r="R957" s="2"/>
      <c r="S957" s="1"/>
      <c r="T957" s="1"/>
      <c r="V957" s="1"/>
      <c r="W957" s="1"/>
      <c r="AJ957" s="1"/>
    </row>
    <row r="958" ht="14.25" customHeight="1" spans="1:36" x14ac:dyDescent="0.25">
      <c r="A958" s="1"/>
      <c r="B958" s="1"/>
      <c r="C958" s="1"/>
      <c r="D958" s="1"/>
      <c r="E958" s="1"/>
      <c r="F958" s="1"/>
      <c r="G958" s="1"/>
      <c r="H958" s="1"/>
      <c r="I958" s="1"/>
      <c r="J958" s="1"/>
      <c r="K958" s="1"/>
      <c r="L958" s="1"/>
      <c r="M958" s="1"/>
      <c r="N958" s="1"/>
      <c r="O958" s="1"/>
      <c r="Q958" s="1"/>
      <c r="R958" s="2"/>
      <c r="S958" s="1"/>
      <c r="T958" s="1"/>
      <c r="V958" s="1"/>
      <c r="W958" s="1"/>
      <c r="AJ958" s="1"/>
    </row>
    <row r="959" ht="14.25" customHeight="1" spans="1:36" x14ac:dyDescent="0.25">
      <c r="A959" s="1"/>
      <c r="B959" s="1"/>
      <c r="C959" s="1"/>
      <c r="D959" s="1"/>
      <c r="E959" s="1"/>
      <c r="F959" s="1"/>
      <c r="G959" s="1"/>
      <c r="H959" s="1"/>
      <c r="I959" s="1"/>
      <c r="J959" s="1"/>
      <c r="K959" s="1"/>
      <c r="L959" s="1"/>
      <c r="M959" s="1"/>
      <c r="N959" s="1"/>
      <c r="O959" s="1"/>
      <c r="Q959" s="1"/>
      <c r="R959" s="2"/>
      <c r="S959" s="1"/>
      <c r="T959" s="1"/>
      <c r="V959" s="1"/>
      <c r="W959" s="1"/>
      <c r="AJ959" s="1"/>
    </row>
    <row r="960" ht="14.25" customHeight="1" spans="1:36" x14ac:dyDescent="0.25">
      <c r="A960" s="1"/>
      <c r="B960" s="1"/>
      <c r="C960" s="1"/>
      <c r="D960" s="1"/>
      <c r="E960" s="1"/>
      <c r="F960" s="1"/>
      <c r="G960" s="1"/>
      <c r="H960" s="1"/>
      <c r="I960" s="1"/>
      <c r="J960" s="1"/>
      <c r="K960" s="1"/>
      <c r="L960" s="1"/>
      <c r="M960" s="1"/>
      <c r="N960" s="1"/>
      <c r="O960" s="1"/>
      <c r="Q960" s="1"/>
      <c r="R960" s="2"/>
      <c r="S960" s="1"/>
      <c r="T960" s="1"/>
      <c r="V960" s="1"/>
      <c r="W960" s="1"/>
      <c r="AJ960" s="1"/>
    </row>
    <row r="961" ht="14.25" customHeight="1" spans="1:36" x14ac:dyDescent="0.25">
      <c r="A961" s="1"/>
      <c r="B961" s="1"/>
      <c r="C961" s="1"/>
      <c r="D961" s="1"/>
      <c r="E961" s="1"/>
      <c r="F961" s="1"/>
      <c r="G961" s="1"/>
      <c r="H961" s="1"/>
      <c r="I961" s="1"/>
      <c r="J961" s="1"/>
      <c r="K961" s="1"/>
      <c r="L961" s="1"/>
      <c r="M961" s="1"/>
      <c r="N961" s="1"/>
      <c r="O961" s="1"/>
      <c r="Q961" s="1"/>
      <c r="R961" s="2"/>
      <c r="S961" s="1"/>
      <c r="T961" s="1"/>
      <c r="V961" s="1"/>
      <c r="W961" s="1"/>
      <c r="AJ961" s="1"/>
    </row>
    <row r="962" ht="14.25" customHeight="1" spans="1:36" x14ac:dyDescent="0.25">
      <c r="A962" s="1"/>
      <c r="B962" s="1"/>
      <c r="C962" s="1"/>
      <c r="D962" s="1"/>
      <c r="E962" s="1"/>
      <c r="F962" s="1"/>
      <c r="G962" s="1"/>
      <c r="H962" s="1"/>
      <c r="I962" s="1"/>
      <c r="J962" s="1"/>
      <c r="K962" s="1"/>
      <c r="L962" s="1"/>
      <c r="M962" s="1"/>
      <c r="N962" s="1"/>
      <c r="O962" s="1"/>
      <c r="Q962" s="1"/>
      <c r="R962" s="2"/>
      <c r="S962" s="1"/>
      <c r="T962" s="1"/>
      <c r="V962" s="1"/>
      <c r="W962" s="1"/>
      <c r="AJ962" s="1"/>
    </row>
    <row r="963" ht="14.25" customHeight="1" spans="1:36" x14ac:dyDescent="0.25">
      <c r="A963" s="1"/>
      <c r="B963" s="1"/>
      <c r="C963" s="1"/>
      <c r="D963" s="1"/>
      <c r="E963" s="1"/>
      <c r="F963" s="1"/>
      <c r="G963" s="1"/>
      <c r="H963" s="1"/>
      <c r="I963" s="1"/>
      <c r="J963" s="1"/>
      <c r="K963" s="1"/>
      <c r="L963" s="1"/>
      <c r="M963" s="1"/>
      <c r="N963" s="1"/>
      <c r="O963" s="1"/>
      <c r="Q963" s="1"/>
      <c r="R963" s="2"/>
      <c r="S963" s="1"/>
      <c r="T963" s="1"/>
      <c r="V963" s="1"/>
      <c r="W963" s="1"/>
      <c r="AJ963" s="1"/>
    </row>
    <row r="964" ht="14.25" customHeight="1" spans="1:36" x14ac:dyDescent="0.25">
      <c r="A964" s="1"/>
      <c r="B964" s="1"/>
      <c r="C964" s="1"/>
      <c r="D964" s="1"/>
      <c r="E964" s="1"/>
      <c r="F964" s="1"/>
      <c r="G964" s="1"/>
      <c r="H964" s="1"/>
      <c r="I964" s="1"/>
      <c r="J964" s="1"/>
      <c r="K964" s="1"/>
      <c r="L964" s="1"/>
      <c r="M964" s="1"/>
      <c r="N964" s="1"/>
      <c r="O964" s="1"/>
      <c r="Q964" s="1"/>
      <c r="R964" s="2"/>
      <c r="S964" s="1"/>
      <c r="T964" s="1"/>
      <c r="V964" s="1"/>
      <c r="W964" s="1"/>
      <c r="AJ964" s="1"/>
    </row>
    <row r="965" ht="14.25" customHeight="1" spans="1:36" x14ac:dyDescent="0.25">
      <c r="A965" s="1"/>
      <c r="B965" s="1"/>
      <c r="C965" s="1"/>
      <c r="D965" s="1"/>
      <c r="E965" s="1"/>
      <c r="F965" s="1"/>
      <c r="G965" s="1"/>
      <c r="H965" s="1"/>
      <c r="I965" s="1"/>
      <c r="J965" s="1"/>
      <c r="K965" s="1"/>
      <c r="L965" s="1"/>
      <c r="M965" s="1"/>
      <c r="N965" s="1"/>
      <c r="O965" s="1"/>
      <c r="Q965" s="1"/>
      <c r="R965" s="2"/>
      <c r="S965" s="1"/>
      <c r="T965" s="1"/>
      <c r="V965" s="1"/>
      <c r="W965" s="1"/>
      <c r="AJ965" s="1"/>
    </row>
    <row r="966" ht="14.25" customHeight="1" spans="1:36" x14ac:dyDescent="0.25">
      <c r="A966" s="1"/>
      <c r="B966" s="1"/>
      <c r="C966" s="1"/>
      <c r="D966" s="1"/>
      <c r="E966" s="1"/>
      <c r="F966" s="1"/>
      <c r="G966" s="1"/>
      <c r="H966" s="1"/>
      <c r="I966" s="1"/>
      <c r="J966" s="1"/>
      <c r="K966" s="1"/>
      <c r="L966" s="1"/>
      <c r="M966" s="1"/>
      <c r="N966" s="1"/>
      <c r="O966" s="1"/>
      <c r="Q966" s="1"/>
      <c r="R966" s="2"/>
      <c r="S966" s="1"/>
      <c r="T966" s="1"/>
      <c r="V966" s="1"/>
      <c r="W966" s="1"/>
      <c r="AJ966" s="1"/>
    </row>
    <row r="967" ht="14.25" customHeight="1" spans="1:36" x14ac:dyDescent="0.25">
      <c r="A967" s="1"/>
      <c r="B967" s="1"/>
      <c r="C967" s="1"/>
      <c r="D967" s="1"/>
      <c r="E967" s="1"/>
      <c r="F967" s="1"/>
      <c r="G967" s="1"/>
      <c r="H967" s="1"/>
      <c r="I967" s="1"/>
      <c r="J967" s="1"/>
      <c r="K967" s="1"/>
      <c r="L967" s="1"/>
      <c r="M967" s="1"/>
      <c r="N967" s="1"/>
      <c r="O967" s="1"/>
      <c r="Q967" s="1"/>
      <c r="R967" s="2"/>
      <c r="S967" s="1"/>
      <c r="T967" s="1"/>
      <c r="V967" s="1"/>
      <c r="W967" s="1"/>
      <c r="AJ967" s="1"/>
    </row>
    <row r="968" ht="14.25" customHeight="1" spans="1:36" x14ac:dyDescent="0.25">
      <c r="A968" s="1"/>
      <c r="B968" s="1"/>
      <c r="C968" s="1"/>
      <c r="D968" s="1"/>
      <c r="E968" s="1"/>
      <c r="F968" s="1"/>
      <c r="G968" s="1"/>
      <c r="H968" s="1"/>
      <c r="I968" s="1"/>
      <c r="J968" s="1"/>
      <c r="K968" s="1"/>
      <c r="L968" s="1"/>
      <c r="M968" s="1"/>
      <c r="N968" s="1"/>
      <c r="O968" s="1"/>
      <c r="Q968" s="1"/>
      <c r="R968" s="2"/>
      <c r="S968" s="1"/>
      <c r="T968" s="1"/>
      <c r="V968" s="1"/>
      <c r="W968" s="1"/>
      <c r="AJ968" s="1"/>
    </row>
    <row r="969" ht="14.25" customHeight="1" spans="1:36" x14ac:dyDescent="0.25">
      <c r="A969" s="1"/>
      <c r="B969" s="1"/>
      <c r="C969" s="1"/>
      <c r="D969" s="1"/>
      <c r="E969" s="1"/>
      <c r="F969" s="1"/>
      <c r="G969" s="1"/>
      <c r="H969" s="1"/>
      <c r="I969" s="1"/>
      <c r="J969" s="1"/>
      <c r="K969" s="1"/>
      <c r="L969" s="1"/>
      <c r="M969" s="1"/>
      <c r="N969" s="1"/>
      <c r="O969" s="1"/>
      <c r="Q969" s="1"/>
      <c r="R969" s="2"/>
      <c r="S969" s="1"/>
      <c r="T969" s="1"/>
      <c r="V969" s="1"/>
      <c r="W969" s="1"/>
      <c r="AJ969" s="1"/>
    </row>
    <row r="970" ht="14.25" customHeight="1" spans="1:36" x14ac:dyDescent="0.25">
      <c r="A970" s="1"/>
      <c r="B970" s="1"/>
      <c r="C970" s="1"/>
      <c r="D970" s="1"/>
      <c r="E970" s="1"/>
      <c r="F970" s="1"/>
      <c r="G970" s="1"/>
      <c r="H970" s="1"/>
      <c r="I970" s="1"/>
      <c r="J970" s="1"/>
      <c r="K970" s="1"/>
      <c r="L970" s="1"/>
      <c r="M970" s="1"/>
      <c r="N970" s="1"/>
      <c r="O970" s="1"/>
      <c r="Q970" s="1"/>
      <c r="R970" s="2"/>
      <c r="S970" s="1"/>
      <c r="T970" s="1"/>
      <c r="V970" s="1"/>
      <c r="W970" s="1"/>
      <c r="AJ970" s="1"/>
    </row>
    <row r="971" ht="14.25" customHeight="1" spans="1:36" x14ac:dyDescent="0.25">
      <c r="A971" s="1"/>
      <c r="B971" s="1"/>
      <c r="C971" s="1"/>
      <c r="D971" s="1"/>
      <c r="E971" s="1"/>
      <c r="F971" s="1"/>
      <c r="G971" s="1"/>
      <c r="H971" s="1"/>
      <c r="I971" s="1"/>
      <c r="J971" s="1"/>
      <c r="K971" s="1"/>
      <c r="L971" s="1"/>
      <c r="M971" s="1"/>
      <c r="N971" s="1"/>
      <c r="O971" s="1"/>
      <c r="Q971" s="1"/>
      <c r="R971" s="2"/>
      <c r="S971" s="1"/>
      <c r="T971" s="1"/>
      <c r="V971" s="1"/>
      <c r="W971" s="1"/>
      <c r="AJ971" s="1"/>
    </row>
    <row r="972" ht="14.25" customHeight="1" spans="1:36" x14ac:dyDescent="0.25">
      <c r="A972" s="1"/>
      <c r="B972" s="1"/>
      <c r="C972" s="1"/>
      <c r="D972" s="1"/>
      <c r="E972" s="1"/>
      <c r="F972" s="1"/>
      <c r="G972" s="1"/>
      <c r="H972" s="1"/>
      <c r="I972" s="1"/>
      <c r="J972" s="1"/>
      <c r="K972" s="1"/>
      <c r="L972" s="1"/>
      <c r="M972" s="1"/>
      <c r="N972" s="1"/>
      <c r="O972" s="1"/>
      <c r="Q972" s="1"/>
      <c r="R972" s="2"/>
      <c r="S972" s="1"/>
      <c r="T972" s="1"/>
      <c r="V972" s="1"/>
      <c r="W972" s="1"/>
      <c r="AJ972" s="1"/>
    </row>
    <row r="973" ht="14.25" customHeight="1" spans="1:36" x14ac:dyDescent="0.25">
      <c r="A973" s="1"/>
      <c r="B973" s="1"/>
      <c r="C973" s="1"/>
      <c r="D973" s="1"/>
      <c r="E973" s="1"/>
      <c r="F973" s="1"/>
      <c r="G973" s="1"/>
      <c r="H973" s="1"/>
      <c r="I973" s="1"/>
      <c r="J973" s="1"/>
      <c r="K973" s="1"/>
      <c r="L973" s="1"/>
      <c r="M973" s="1"/>
      <c r="N973" s="1"/>
      <c r="O973" s="1"/>
      <c r="Q973" s="1"/>
      <c r="R973" s="2"/>
      <c r="S973" s="1"/>
      <c r="T973" s="1"/>
      <c r="V973" s="1"/>
      <c r="W973" s="1"/>
      <c r="AJ973" s="1"/>
    </row>
    <row r="974" ht="14.25" customHeight="1" spans="1:36" x14ac:dyDescent="0.25">
      <c r="A974" s="1"/>
      <c r="B974" s="1"/>
      <c r="C974" s="1"/>
      <c r="D974" s="1"/>
      <c r="E974" s="1"/>
      <c r="F974" s="1"/>
      <c r="G974" s="1"/>
      <c r="H974" s="1"/>
      <c r="I974" s="1"/>
      <c r="J974" s="1"/>
      <c r="K974" s="1"/>
      <c r="L974" s="1"/>
      <c r="M974" s="1"/>
      <c r="N974" s="1"/>
      <c r="O974" s="1"/>
      <c r="Q974" s="1"/>
      <c r="R974" s="2"/>
      <c r="S974" s="1"/>
      <c r="T974" s="1"/>
      <c r="V974" s="1"/>
      <c r="W974" s="1"/>
      <c r="AJ974" s="1"/>
    </row>
    <row r="975" ht="14.25" customHeight="1" spans="1:36" x14ac:dyDescent="0.25">
      <c r="A975" s="1"/>
      <c r="B975" s="1"/>
      <c r="C975" s="1"/>
      <c r="D975" s="1"/>
      <c r="E975" s="1"/>
      <c r="F975" s="1"/>
      <c r="G975" s="1"/>
      <c r="H975" s="1"/>
      <c r="I975" s="1"/>
      <c r="J975" s="1"/>
      <c r="K975" s="1"/>
      <c r="L975" s="1"/>
      <c r="M975" s="1"/>
      <c r="N975" s="1"/>
      <c r="O975" s="1"/>
      <c r="Q975" s="1"/>
      <c r="R975" s="2"/>
      <c r="S975" s="1"/>
      <c r="T975" s="1"/>
      <c r="V975" s="1"/>
      <c r="W975" s="1"/>
      <c r="AJ975" s="1"/>
    </row>
    <row r="976" ht="14.25" customHeight="1" spans="1:36" x14ac:dyDescent="0.25">
      <c r="A976" s="1"/>
      <c r="B976" s="1"/>
      <c r="C976" s="1"/>
      <c r="D976" s="1"/>
      <c r="E976" s="1"/>
      <c r="F976" s="1"/>
      <c r="G976" s="1"/>
      <c r="H976" s="1"/>
      <c r="I976" s="1"/>
      <c r="J976" s="1"/>
      <c r="K976" s="1"/>
      <c r="L976" s="1"/>
      <c r="M976" s="1"/>
      <c r="N976" s="1"/>
      <c r="O976" s="1"/>
      <c r="Q976" s="1"/>
      <c r="R976" s="2"/>
      <c r="S976" s="1"/>
      <c r="T976" s="1"/>
      <c r="V976" s="1"/>
      <c r="W976" s="1"/>
      <c r="AJ976" s="1"/>
    </row>
    <row r="977" ht="14.25" customHeight="1" spans="1:36" x14ac:dyDescent="0.25">
      <c r="A977" s="1"/>
      <c r="B977" s="1"/>
      <c r="C977" s="1"/>
      <c r="D977" s="1"/>
      <c r="E977" s="1"/>
      <c r="F977" s="1"/>
      <c r="G977" s="1"/>
      <c r="H977" s="1"/>
      <c r="I977" s="1"/>
      <c r="J977" s="1"/>
      <c r="K977" s="1"/>
      <c r="L977" s="1"/>
      <c r="M977" s="1"/>
      <c r="N977" s="1"/>
      <c r="O977" s="1"/>
      <c r="Q977" s="1"/>
      <c r="R977" s="2"/>
      <c r="S977" s="1"/>
      <c r="T977" s="1"/>
      <c r="V977" s="1"/>
      <c r="W977" s="1"/>
      <c r="AJ977" s="1"/>
    </row>
    <row r="978" ht="14.25" customHeight="1" spans="1:36" x14ac:dyDescent="0.25">
      <c r="A978" s="1"/>
      <c r="B978" s="1"/>
      <c r="C978" s="1"/>
      <c r="D978" s="1"/>
      <c r="E978" s="1"/>
      <c r="F978" s="1"/>
      <c r="G978" s="1"/>
      <c r="H978" s="1"/>
      <c r="I978" s="1"/>
      <c r="J978" s="1"/>
      <c r="K978" s="1"/>
      <c r="L978" s="1"/>
      <c r="M978" s="1"/>
      <c r="N978" s="1"/>
      <c r="O978" s="1"/>
      <c r="Q978" s="1"/>
      <c r="R978" s="2"/>
      <c r="S978" s="1"/>
      <c r="T978" s="1"/>
      <c r="V978" s="1"/>
      <c r="W978" s="1"/>
      <c r="AJ978" s="1"/>
    </row>
    <row r="979" ht="14.25" customHeight="1" spans="1:36" x14ac:dyDescent="0.25">
      <c r="A979" s="1"/>
      <c r="B979" s="1"/>
      <c r="C979" s="1"/>
      <c r="D979" s="1"/>
      <c r="E979" s="1"/>
      <c r="F979" s="1"/>
      <c r="G979" s="1"/>
      <c r="H979" s="1"/>
      <c r="I979" s="1"/>
      <c r="J979" s="1"/>
      <c r="K979" s="1"/>
      <c r="L979" s="1"/>
      <c r="M979" s="1"/>
      <c r="N979" s="1"/>
      <c r="O979" s="1"/>
      <c r="Q979" s="1"/>
      <c r="R979" s="2"/>
      <c r="S979" s="1"/>
      <c r="T979" s="1"/>
      <c r="V979" s="1"/>
      <c r="W979" s="1"/>
      <c r="AJ979" s="1"/>
    </row>
    <row r="980" ht="14.25" customHeight="1" spans="1:36" x14ac:dyDescent="0.25">
      <c r="A980" s="1"/>
      <c r="B980" s="1"/>
      <c r="C980" s="1"/>
      <c r="D980" s="1"/>
      <c r="E980" s="1"/>
      <c r="F980" s="1"/>
      <c r="G980" s="1"/>
      <c r="H980" s="1"/>
      <c r="I980" s="1"/>
      <c r="J980" s="1"/>
      <c r="K980" s="1"/>
      <c r="L980" s="1"/>
      <c r="M980" s="1"/>
      <c r="N980" s="1"/>
      <c r="O980" s="1"/>
      <c r="Q980" s="1"/>
      <c r="R980" s="2"/>
      <c r="S980" s="1"/>
      <c r="T980" s="1"/>
      <c r="V980" s="1"/>
      <c r="W980" s="1"/>
      <c r="AJ980" s="1"/>
    </row>
    <row r="981" ht="14.25" customHeight="1" spans="1:36" x14ac:dyDescent="0.25">
      <c r="A981" s="1"/>
      <c r="B981" s="1"/>
      <c r="C981" s="1"/>
      <c r="D981" s="1"/>
      <c r="E981" s="1"/>
      <c r="F981" s="1"/>
      <c r="G981" s="1"/>
      <c r="H981" s="1"/>
      <c r="I981" s="1"/>
      <c r="J981" s="1"/>
      <c r="K981" s="1"/>
      <c r="L981" s="1"/>
      <c r="M981" s="1"/>
      <c r="N981" s="1"/>
      <c r="O981" s="1"/>
      <c r="Q981" s="1"/>
      <c r="R981" s="2"/>
      <c r="S981" s="1"/>
      <c r="T981" s="1"/>
      <c r="V981" s="1"/>
      <c r="W981" s="1"/>
      <c r="AJ981" s="1"/>
    </row>
    <row r="982" ht="14.25" customHeight="1" spans="1:36" x14ac:dyDescent="0.25">
      <c r="A982" s="1"/>
      <c r="B982" s="1"/>
      <c r="C982" s="1"/>
      <c r="D982" s="1"/>
      <c r="E982" s="1"/>
      <c r="F982" s="1"/>
      <c r="G982" s="1"/>
      <c r="H982" s="1"/>
      <c r="I982" s="1"/>
      <c r="J982" s="1"/>
      <c r="K982" s="1"/>
      <c r="L982" s="1"/>
      <c r="M982" s="1"/>
      <c r="N982" s="1"/>
      <c r="O982" s="1"/>
      <c r="Q982" s="1"/>
      <c r="R982" s="2"/>
      <c r="S982" s="1"/>
      <c r="T982" s="1"/>
      <c r="V982" s="1"/>
      <c r="W982" s="1"/>
      <c r="AJ982" s="1"/>
    </row>
    <row r="983" ht="14.25" customHeight="1" spans="1:36" x14ac:dyDescent="0.25">
      <c r="A983" s="1"/>
      <c r="B983" s="1"/>
      <c r="C983" s="1"/>
      <c r="D983" s="1"/>
      <c r="E983" s="1"/>
      <c r="F983" s="1"/>
      <c r="G983" s="1"/>
      <c r="H983" s="1"/>
      <c r="I983" s="1"/>
      <c r="J983" s="1"/>
      <c r="K983" s="1"/>
      <c r="L983" s="1"/>
      <c r="M983" s="1"/>
      <c r="N983" s="1"/>
      <c r="O983" s="1"/>
      <c r="Q983" s="1"/>
      <c r="R983" s="2"/>
      <c r="S983" s="1"/>
      <c r="T983" s="1"/>
      <c r="V983" s="1"/>
      <c r="W983" s="1"/>
      <c r="AJ983" s="1"/>
    </row>
    <row r="984" ht="14.25" customHeight="1" spans="1:36" x14ac:dyDescent="0.25">
      <c r="A984" s="1"/>
      <c r="B984" s="1"/>
      <c r="C984" s="1"/>
      <c r="D984" s="1"/>
      <c r="E984" s="1"/>
      <c r="F984" s="1"/>
      <c r="G984" s="1"/>
      <c r="H984" s="1"/>
      <c r="I984" s="1"/>
      <c r="J984" s="1"/>
      <c r="K984" s="1"/>
      <c r="L984" s="1"/>
      <c r="M984" s="1"/>
      <c r="N984" s="1"/>
      <c r="O984" s="1"/>
      <c r="Q984" s="1"/>
      <c r="R984" s="2"/>
      <c r="S984" s="1"/>
      <c r="T984" s="1"/>
      <c r="V984" s="1"/>
      <c r="W984" s="1"/>
      <c r="AJ984" s="1"/>
    </row>
    <row r="985" ht="14.25" customHeight="1" spans="1:36" x14ac:dyDescent="0.25">
      <c r="A985" s="1"/>
      <c r="B985" s="1"/>
      <c r="C985" s="1"/>
      <c r="D985" s="1"/>
      <c r="E985" s="1"/>
      <c r="F985" s="1"/>
      <c r="G985" s="1"/>
      <c r="H985" s="1"/>
      <c r="I985" s="1"/>
      <c r="J985" s="1"/>
      <c r="K985" s="1"/>
      <c r="L985" s="1"/>
      <c r="M985" s="1"/>
      <c r="N985" s="1"/>
      <c r="O985" s="1"/>
      <c r="Q985" s="1"/>
      <c r="R985" s="2"/>
      <c r="S985" s="1"/>
      <c r="T985" s="1"/>
      <c r="V985" s="1"/>
      <c r="W985" s="1"/>
      <c r="AJ985" s="1"/>
    </row>
    <row r="986" ht="14.25" customHeight="1" spans="1:36" x14ac:dyDescent="0.25">
      <c r="A986" s="1"/>
      <c r="B986" s="1"/>
      <c r="C986" s="1"/>
      <c r="D986" s="1"/>
      <c r="E986" s="1"/>
      <c r="F986" s="1"/>
      <c r="G986" s="1"/>
      <c r="H986" s="1"/>
      <c r="I986" s="1"/>
      <c r="J986" s="1"/>
      <c r="K986" s="1"/>
      <c r="L986" s="1"/>
      <c r="M986" s="1"/>
      <c r="N986" s="1"/>
      <c r="O986" s="1"/>
      <c r="Q986" s="1"/>
      <c r="R986" s="2"/>
      <c r="S986" s="1"/>
      <c r="T986" s="1"/>
      <c r="V986" s="1"/>
      <c r="W986" s="1"/>
      <c r="AJ986" s="1"/>
    </row>
    <row r="987" ht="14.25" customHeight="1" spans="1:36" x14ac:dyDescent="0.25">
      <c r="A987" s="1"/>
      <c r="B987" s="1"/>
      <c r="C987" s="1"/>
      <c r="D987" s="1"/>
      <c r="E987" s="1"/>
      <c r="F987" s="1"/>
      <c r="G987" s="1"/>
      <c r="H987" s="1"/>
      <c r="I987" s="1"/>
      <c r="J987" s="1"/>
      <c r="K987" s="1"/>
      <c r="L987" s="1"/>
      <c r="M987" s="1"/>
      <c r="N987" s="1"/>
      <c r="O987" s="1"/>
      <c r="Q987" s="1"/>
      <c r="R987" s="2"/>
      <c r="S987" s="1"/>
      <c r="T987" s="1"/>
      <c r="V987" s="1"/>
      <c r="W987" s="1"/>
      <c r="AJ987" s="1"/>
    </row>
    <row r="988" ht="14.25" customHeight="1" spans="1:36" x14ac:dyDescent="0.25">
      <c r="A988" s="1"/>
      <c r="B988" s="1"/>
      <c r="C988" s="1"/>
      <c r="D988" s="1"/>
      <c r="E988" s="1"/>
      <c r="F988" s="1"/>
      <c r="G988" s="1"/>
      <c r="H988" s="1"/>
      <c r="I988" s="1"/>
      <c r="J988" s="1"/>
      <c r="K988" s="1"/>
      <c r="L988" s="1"/>
      <c r="M988" s="1"/>
      <c r="N988" s="1"/>
      <c r="O988" s="1"/>
      <c r="Q988" s="1"/>
      <c r="R988" s="2"/>
      <c r="S988" s="1"/>
      <c r="T988" s="1"/>
      <c r="V988" s="1"/>
      <c r="W988" s="1"/>
      <c r="AJ988" s="1"/>
    </row>
    <row r="989" ht="14.25" customHeight="1" spans="1:36" x14ac:dyDescent="0.25">
      <c r="A989" s="1"/>
      <c r="B989" s="1"/>
      <c r="C989" s="1"/>
      <c r="D989" s="1"/>
      <c r="E989" s="1"/>
      <c r="F989" s="1"/>
      <c r="G989" s="1"/>
      <c r="H989" s="1"/>
      <c r="I989" s="1"/>
      <c r="J989" s="1"/>
      <c r="K989" s="1"/>
      <c r="L989" s="1"/>
      <c r="M989" s="1"/>
      <c r="N989" s="1"/>
      <c r="O989" s="1"/>
      <c r="Q989" s="1"/>
      <c r="R989" s="2"/>
      <c r="S989" s="1"/>
      <c r="T989" s="1"/>
      <c r="V989" s="1"/>
      <c r="W989" s="1"/>
      <c r="AJ989" s="1"/>
    </row>
    <row r="990" ht="14.25" customHeight="1" spans="1:36" x14ac:dyDescent="0.25">
      <c r="A990" s="1"/>
      <c r="B990" s="1"/>
      <c r="C990" s="1"/>
      <c r="D990" s="1"/>
      <c r="E990" s="1"/>
      <c r="F990" s="1"/>
      <c r="G990" s="1"/>
      <c r="H990" s="1"/>
      <c r="I990" s="1"/>
      <c r="J990" s="1"/>
      <c r="K990" s="1"/>
      <c r="L990" s="1"/>
      <c r="M990" s="1"/>
      <c r="N990" s="1"/>
      <c r="O990" s="1"/>
      <c r="Q990" s="1"/>
      <c r="R990" s="2"/>
      <c r="S990" s="1"/>
      <c r="T990" s="1"/>
      <c r="V990" s="1"/>
      <c r="W990" s="1"/>
      <c r="AJ990" s="1"/>
    </row>
    <row r="991" ht="14.25" customHeight="1" spans="1:36" x14ac:dyDescent="0.25">
      <c r="A991" s="1"/>
      <c r="B991" s="1"/>
      <c r="C991" s="1"/>
      <c r="D991" s="1"/>
      <c r="E991" s="1"/>
      <c r="F991" s="1"/>
      <c r="G991" s="1"/>
      <c r="H991" s="1"/>
      <c r="I991" s="1"/>
      <c r="J991" s="1"/>
      <c r="K991" s="1"/>
      <c r="L991" s="1"/>
      <c r="M991" s="1"/>
      <c r="N991" s="1"/>
      <c r="O991" s="1"/>
      <c r="Q991" s="1"/>
      <c r="R991" s="2"/>
      <c r="S991" s="1"/>
      <c r="T991" s="1"/>
      <c r="V991" s="1"/>
      <c r="W991" s="1"/>
      <c r="AJ991" s="1"/>
    </row>
    <row r="992" ht="14.25" customHeight="1" spans="1:36" x14ac:dyDescent="0.25">
      <c r="A992" s="1"/>
      <c r="B992" s="1"/>
      <c r="C992" s="1"/>
      <c r="D992" s="1"/>
      <c r="E992" s="1"/>
      <c r="F992" s="1"/>
      <c r="G992" s="1"/>
      <c r="H992" s="1"/>
      <c r="I992" s="1"/>
      <c r="J992" s="1"/>
      <c r="K992" s="1"/>
      <c r="L992" s="1"/>
      <c r="M992" s="1"/>
      <c r="N992" s="1"/>
      <c r="O992" s="1"/>
      <c r="Q992" s="1"/>
      <c r="R992" s="2"/>
      <c r="S992" s="1"/>
      <c r="T992" s="1"/>
      <c r="V992" s="1"/>
      <c r="W992" s="1"/>
      <c r="AJ992" s="1"/>
    </row>
    <row r="993" ht="14.25" customHeight="1" spans="1:36" x14ac:dyDescent="0.25">
      <c r="A993" s="1"/>
      <c r="B993" s="1"/>
      <c r="C993" s="1"/>
      <c r="D993" s="1"/>
      <c r="E993" s="1"/>
      <c r="F993" s="1"/>
      <c r="G993" s="1"/>
      <c r="H993" s="1"/>
      <c r="I993" s="1"/>
      <c r="J993" s="1"/>
      <c r="K993" s="1"/>
      <c r="L993" s="1"/>
      <c r="M993" s="1"/>
      <c r="N993" s="1"/>
      <c r="O993" s="1"/>
      <c r="Q993" s="1"/>
      <c r="R993" s="2"/>
      <c r="S993" s="1"/>
      <c r="T993" s="1"/>
      <c r="V993" s="1"/>
      <c r="W993" s="1"/>
      <c r="AJ993" s="1"/>
    </row>
    <row r="994" ht="14.25" customHeight="1" spans="1:36" x14ac:dyDescent="0.25">
      <c r="A994" s="1"/>
      <c r="B994" s="1"/>
      <c r="C994" s="1"/>
      <c r="D994" s="1"/>
      <c r="E994" s="1"/>
      <c r="F994" s="1"/>
      <c r="G994" s="1"/>
      <c r="H994" s="1"/>
      <c r="I994" s="1"/>
      <c r="J994" s="1"/>
      <c r="K994" s="1"/>
      <c r="L994" s="1"/>
      <c r="M994" s="1"/>
      <c r="N994" s="1"/>
      <c r="O994" s="1"/>
      <c r="Q994" s="1"/>
      <c r="R994" s="2"/>
      <c r="S994" s="1"/>
      <c r="T994" s="1"/>
      <c r="V994" s="1"/>
      <c r="W994" s="1"/>
      <c r="AJ994" s="1"/>
    </row>
    <row r="995" ht="14.25" customHeight="1" spans="1:36" x14ac:dyDescent="0.25">
      <c r="A995" s="1"/>
      <c r="B995" s="1"/>
      <c r="C995" s="1"/>
      <c r="D995" s="1"/>
      <c r="E995" s="1"/>
      <c r="F995" s="1"/>
      <c r="G995" s="1"/>
      <c r="H995" s="1"/>
      <c r="I995" s="1"/>
      <c r="J995" s="1"/>
      <c r="K995" s="1"/>
      <c r="L995" s="1"/>
      <c r="M995" s="1"/>
      <c r="N995" s="1"/>
      <c r="O995" s="1"/>
      <c r="Q995" s="1"/>
      <c r="R995" s="2"/>
      <c r="S995" s="1"/>
      <c r="T995" s="1"/>
      <c r="V995" s="1"/>
      <c r="W995" s="1"/>
      <c r="AJ995" s="1"/>
    </row>
    <row r="996" ht="14.25" customHeight="1" spans="1:36" x14ac:dyDescent="0.25">
      <c r="A996" s="1"/>
      <c r="B996" s="1"/>
      <c r="C996" s="1"/>
      <c r="D996" s="1"/>
      <c r="E996" s="1"/>
      <c r="F996" s="1"/>
      <c r="G996" s="1"/>
      <c r="H996" s="1"/>
      <c r="I996" s="1"/>
      <c r="J996" s="1"/>
      <c r="K996" s="1"/>
      <c r="L996" s="1"/>
      <c r="M996" s="1"/>
      <c r="N996" s="1"/>
      <c r="O996" s="1"/>
      <c r="Q996" s="1"/>
      <c r="R996" s="2"/>
      <c r="S996" s="1"/>
      <c r="T996" s="1"/>
      <c r="V996" s="1"/>
      <c r="W996" s="1"/>
      <c r="AJ996" s="1"/>
    </row>
    <row r="997" ht="14.25" customHeight="1" spans="1:36" x14ac:dyDescent="0.25">
      <c r="A997" s="1"/>
      <c r="B997" s="1"/>
      <c r="C997" s="1"/>
      <c r="D997" s="1"/>
      <c r="E997" s="1"/>
      <c r="F997" s="1"/>
      <c r="G997" s="1"/>
      <c r="H997" s="1"/>
      <c r="I997" s="1"/>
      <c r="J997" s="1"/>
      <c r="K997" s="1"/>
      <c r="L997" s="1"/>
      <c r="M997" s="1"/>
      <c r="N997" s="1"/>
      <c r="O997" s="1"/>
      <c r="Q997" s="1"/>
      <c r="R997" s="2"/>
      <c r="S997" s="1"/>
      <c r="T997" s="1"/>
      <c r="V997" s="1"/>
      <c r="W997" s="1"/>
      <c r="AJ997" s="1"/>
    </row>
    <row r="998" ht="14.25" customHeight="1" spans="1:36" x14ac:dyDescent="0.25">
      <c r="A998" s="1"/>
      <c r="B998" s="1"/>
      <c r="C998" s="1"/>
      <c r="D998" s="1"/>
      <c r="E998" s="1"/>
      <c r="F998" s="1"/>
      <c r="G998" s="1"/>
      <c r="H998" s="1"/>
      <c r="I998" s="1"/>
      <c r="J998" s="1"/>
      <c r="K998" s="1"/>
      <c r="L998" s="1"/>
      <c r="M998" s="1"/>
      <c r="N998" s="1"/>
      <c r="O998" s="1"/>
      <c r="Q998" s="1"/>
      <c r="R998" s="2"/>
      <c r="S998" s="1"/>
      <c r="T998" s="1"/>
      <c r="V998" s="1"/>
      <c r="W998" s="1"/>
      <c r="AJ998" s="1"/>
    </row>
    <row r="999" ht="14.25" customHeight="1" spans="1:36" x14ac:dyDescent="0.25">
      <c r="A999" s="1"/>
      <c r="B999" s="1"/>
      <c r="C999" s="1"/>
      <c r="D999" s="1"/>
      <c r="E999" s="1"/>
      <c r="F999" s="1"/>
      <c r="G999" s="1"/>
      <c r="H999" s="1"/>
      <c r="I999" s="1"/>
      <c r="J999" s="1"/>
      <c r="K999" s="1"/>
      <c r="L999" s="1"/>
      <c r="M999" s="1"/>
      <c r="N999" s="1"/>
      <c r="O999" s="1"/>
      <c r="Q999" s="1"/>
      <c r="R999" s="2"/>
      <c r="S999" s="1"/>
      <c r="T999" s="1"/>
      <c r="V999" s="1"/>
      <c r="W999" s="1"/>
      <c r="AJ999" s="1"/>
    </row>
    <row r="1000" ht="14.25" customHeight="1" spans="1:36" x14ac:dyDescent="0.25">
      <c r="A1000" s="1"/>
      <c r="B1000" s="1"/>
      <c r="C1000" s="1"/>
      <c r="D1000" s="1"/>
      <c r="E1000" s="1"/>
      <c r="F1000" s="1"/>
      <c r="G1000" s="1"/>
      <c r="H1000" s="1"/>
      <c r="I1000" s="1"/>
      <c r="J1000" s="1"/>
      <c r="K1000" s="1"/>
      <c r="L1000" s="1"/>
      <c r="M1000" s="1"/>
      <c r="N1000" s="1"/>
      <c r="O1000" s="1"/>
      <c r="Q1000" s="1"/>
      <c r="R1000" s="2"/>
      <c r="S1000" s="1"/>
      <c r="T1000" s="1"/>
      <c r="V1000" s="1"/>
      <c r="W1000" s="1"/>
      <c r="AJ1000" s="1"/>
    </row>
  </sheetData>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0" customWidth="1"/>
    <col min="2" max="2" width="12" customWidth="1"/>
    <col min="3" max="3" width="42" customWidth="1"/>
    <col min="4" max="4" width="12" customWidth="1"/>
    <col min="5" max="5" width="16" customWidth="1"/>
    <col min="6" max="6" width="90" customWidth="1"/>
    <col min="7" max="26" width="8.71" customWidth="1"/>
  </cols>
  <sheetData>
    <row r="1" ht="14.25" customHeight="1" spans="1:6" x14ac:dyDescent="0.25">
      <c r="A1" s="3" t="s">
        <v>0</v>
      </c>
      <c r="B1" s="3" t="s">
        <v>5</v>
      </c>
      <c r="C1" s="3" t="s">
        <v>6</v>
      </c>
      <c r="D1" s="3" t="s">
        <v>1241</v>
      </c>
      <c r="E1" s="3" t="s">
        <v>1242</v>
      </c>
      <c r="F1" s="3" t="s">
        <v>1243</v>
      </c>
    </row>
    <row r="2" ht="57.75" customHeight="1" spans="1:6" x14ac:dyDescent="0.25">
      <c r="A2" s="3" t="s">
        <v>35</v>
      </c>
      <c r="B2" s="3" t="s">
        <v>39</v>
      </c>
      <c r="C2" s="3" t="s">
        <v>40</v>
      </c>
      <c r="D2" s="3">
        <v>2</v>
      </c>
      <c r="E2" s="3" t="s">
        <v>1244</v>
      </c>
      <c r="F2" s="6" t="s">
        <v>1245</v>
      </c>
    </row>
    <row r="3" ht="64.5" customHeight="1" spans="1:6" x14ac:dyDescent="0.25">
      <c r="A3" s="3" t="s">
        <v>35</v>
      </c>
      <c r="B3" s="3" t="s">
        <v>39</v>
      </c>
      <c r="C3" s="3" t="s">
        <v>40</v>
      </c>
      <c r="D3" s="3">
        <v>3</v>
      </c>
      <c r="E3" s="3" t="s">
        <v>1246</v>
      </c>
      <c r="F3" s="6" t="s">
        <v>1247</v>
      </c>
    </row>
    <row r="4" ht="79.5" customHeight="1" spans="1:6" x14ac:dyDescent="0.25">
      <c r="A4" s="3" t="s">
        <v>35</v>
      </c>
      <c r="B4" s="3" t="s">
        <v>39</v>
      </c>
      <c r="C4" s="3" t="s">
        <v>40</v>
      </c>
      <c r="D4" s="3">
        <v>4</v>
      </c>
      <c r="E4" s="3" t="s">
        <v>1248</v>
      </c>
      <c r="F4" s="6" t="s">
        <v>1249</v>
      </c>
    </row>
    <row r="5" ht="79.5" customHeight="1" spans="1:6" x14ac:dyDescent="0.25">
      <c r="A5" s="3" t="s">
        <v>35</v>
      </c>
      <c r="B5" s="3" t="s">
        <v>39</v>
      </c>
      <c r="C5" s="3" t="s">
        <v>40</v>
      </c>
      <c r="D5" s="3">
        <v>5</v>
      </c>
      <c r="E5" s="3" t="s">
        <v>1250</v>
      </c>
      <c r="F5" s="6" t="s">
        <v>1251</v>
      </c>
    </row>
    <row r="6" ht="57.75" customHeight="1" spans="1:6" x14ac:dyDescent="0.25">
      <c r="A6" s="3" t="s">
        <v>35</v>
      </c>
      <c r="B6" s="3" t="s">
        <v>58</v>
      </c>
      <c r="C6" s="3" t="s">
        <v>59</v>
      </c>
      <c r="D6" s="3">
        <v>2</v>
      </c>
      <c r="E6" s="3" t="s">
        <v>1244</v>
      </c>
      <c r="F6" s="6" t="s">
        <v>1252</v>
      </c>
    </row>
    <row r="7" ht="64.5" customHeight="1" spans="1:6" x14ac:dyDescent="0.25">
      <c r="A7" s="3" t="s">
        <v>35</v>
      </c>
      <c r="B7" s="3" t="s">
        <v>58</v>
      </c>
      <c r="C7" s="3" t="s">
        <v>59</v>
      </c>
      <c r="D7" s="3">
        <v>3</v>
      </c>
      <c r="E7" s="3" t="s">
        <v>1246</v>
      </c>
      <c r="F7" s="6" t="s">
        <v>1253</v>
      </c>
    </row>
    <row r="8" ht="79.5" customHeight="1" spans="1:6" x14ac:dyDescent="0.25">
      <c r="A8" s="3" t="s">
        <v>35</v>
      </c>
      <c r="B8" s="3" t="s">
        <v>58</v>
      </c>
      <c r="C8" s="3" t="s">
        <v>59</v>
      </c>
      <c r="D8" s="3">
        <v>4</v>
      </c>
      <c r="E8" s="3" t="s">
        <v>1248</v>
      </c>
      <c r="F8" s="6" t="s">
        <v>1254</v>
      </c>
    </row>
    <row r="9" ht="57.75" customHeight="1" spans="1:6" x14ac:dyDescent="0.25">
      <c r="A9" s="3" t="s">
        <v>35</v>
      </c>
      <c r="B9" s="3" t="s">
        <v>58</v>
      </c>
      <c r="C9" s="3" t="s">
        <v>59</v>
      </c>
      <c r="D9" s="3">
        <v>5</v>
      </c>
      <c r="E9" s="3" t="s">
        <v>1250</v>
      </c>
      <c r="F9" s="6" t="s">
        <v>1255</v>
      </c>
    </row>
    <row r="10" ht="64.5" customHeight="1" spans="1:6" x14ac:dyDescent="0.25">
      <c r="A10" s="3" t="s">
        <v>35</v>
      </c>
      <c r="B10" s="3" t="s">
        <v>70</v>
      </c>
      <c r="C10" s="3" t="s">
        <v>71</v>
      </c>
      <c r="D10" s="3">
        <v>2</v>
      </c>
      <c r="E10" s="3" t="s">
        <v>1244</v>
      </c>
      <c r="F10" s="6" t="s">
        <v>1256</v>
      </c>
    </row>
    <row r="11" ht="64.5" customHeight="1" spans="1:6" x14ac:dyDescent="0.25">
      <c r="A11" s="3" t="s">
        <v>35</v>
      </c>
      <c r="B11" s="3" t="s">
        <v>70</v>
      </c>
      <c r="C11" s="3" t="s">
        <v>71</v>
      </c>
      <c r="D11" s="3">
        <v>3</v>
      </c>
      <c r="E11" s="3" t="s">
        <v>1246</v>
      </c>
      <c r="F11" s="6" t="s">
        <v>1257</v>
      </c>
    </row>
    <row r="12" ht="79.5" customHeight="1" spans="1:6" x14ac:dyDescent="0.25">
      <c r="A12" s="3" t="s">
        <v>35</v>
      </c>
      <c r="B12" s="3" t="s">
        <v>70</v>
      </c>
      <c r="C12" s="3" t="s">
        <v>71</v>
      </c>
      <c r="D12" s="3">
        <v>4</v>
      </c>
      <c r="E12" s="3" t="s">
        <v>1248</v>
      </c>
      <c r="F12" s="6" t="s">
        <v>1258</v>
      </c>
    </row>
    <row r="13" ht="79.5" customHeight="1" spans="1:6" x14ac:dyDescent="0.25">
      <c r="A13" s="3" t="s">
        <v>35</v>
      </c>
      <c r="B13" s="3" t="s">
        <v>70</v>
      </c>
      <c r="C13" s="3" t="s">
        <v>71</v>
      </c>
      <c r="D13" s="3">
        <v>5</v>
      </c>
      <c r="E13" s="3" t="s">
        <v>1250</v>
      </c>
      <c r="F13" s="6" t="s">
        <v>1259</v>
      </c>
    </row>
    <row r="14" ht="57.75" customHeight="1" spans="1:6" x14ac:dyDescent="0.25">
      <c r="A14" s="3" t="s">
        <v>35</v>
      </c>
      <c r="B14" s="3" t="s">
        <v>79</v>
      </c>
      <c r="C14" s="3" t="s">
        <v>80</v>
      </c>
      <c r="D14" s="3">
        <v>2</v>
      </c>
      <c r="E14" s="3" t="s">
        <v>1244</v>
      </c>
      <c r="F14" s="6" t="s">
        <v>1260</v>
      </c>
    </row>
    <row r="15" ht="57.75" customHeight="1" spans="1:6" x14ac:dyDescent="0.25">
      <c r="A15" s="3" t="s">
        <v>35</v>
      </c>
      <c r="B15" s="3" t="s">
        <v>79</v>
      </c>
      <c r="C15" s="3" t="s">
        <v>80</v>
      </c>
      <c r="D15" s="3">
        <v>3</v>
      </c>
      <c r="E15" s="3" t="s">
        <v>1246</v>
      </c>
      <c r="F15" s="6" t="s">
        <v>1261</v>
      </c>
    </row>
    <row r="16" ht="57.75" customHeight="1" spans="1:6" x14ac:dyDescent="0.25">
      <c r="A16" s="3" t="s">
        <v>35</v>
      </c>
      <c r="B16" s="3" t="s">
        <v>79</v>
      </c>
      <c r="C16" s="3" t="s">
        <v>80</v>
      </c>
      <c r="D16" s="3">
        <v>4</v>
      </c>
      <c r="E16" s="3" t="s">
        <v>1248</v>
      </c>
      <c r="F16" s="6" t="s">
        <v>1262</v>
      </c>
    </row>
    <row r="17" ht="57.75" customHeight="1" spans="1:6" x14ac:dyDescent="0.25">
      <c r="A17" s="3" t="s">
        <v>35</v>
      </c>
      <c r="B17" s="3" t="s">
        <v>79</v>
      </c>
      <c r="C17" s="3" t="s">
        <v>80</v>
      </c>
      <c r="D17" s="3">
        <v>5</v>
      </c>
      <c r="E17" s="3" t="s">
        <v>1250</v>
      </c>
      <c r="F17" s="6" t="s">
        <v>1263</v>
      </c>
    </row>
    <row r="18" ht="57.75" customHeight="1" spans="1:6" x14ac:dyDescent="0.25">
      <c r="A18" s="3" t="s">
        <v>35</v>
      </c>
      <c r="B18" s="3" t="s">
        <v>90</v>
      </c>
      <c r="C18" s="3" t="s">
        <v>91</v>
      </c>
      <c r="D18" s="3">
        <v>2</v>
      </c>
      <c r="E18" s="3" t="s">
        <v>1244</v>
      </c>
      <c r="F18" s="6" t="s">
        <v>1264</v>
      </c>
    </row>
    <row r="19" ht="57.75" customHeight="1" spans="1:6" x14ac:dyDescent="0.25">
      <c r="A19" s="3" t="s">
        <v>35</v>
      </c>
      <c r="B19" s="3" t="s">
        <v>90</v>
      </c>
      <c r="C19" s="3" t="s">
        <v>91</v>
      </c>
      <c r="D19" s="3">
        <v>3</v>
      </c>
      <c r="E19" s="3" t="s">
        <v>1246</v>
      </c>
      <c r="F19" s="6" t="s">
        <v>1265</v>
      </c>
    </row>
    <row r="20" ht="57.75" customHeight="1" spans="1:6" x14ac:dyDescent="0.25">
      <c r="A20" s="3" t="s">
        <v>35</v>
      </c>
      <c r="B20" s="3" t="s">
        <v>90</v>
      </c>
      <c r="C20" s="3" t="s">
        <v>91</v>
      </c>
      <c r="D20" s="3">
        <v>4</v>
      </c>
      <c r="E20" s="3" t="s">
        <v>1248</v>
      </c>
      <c r="F20" s="6" t="s">
        <v>1266</v>
      </c>
    </row>
    <row r="21" ht="57.75" customHeight="1" spans="1:6" x14ac:dyDescent="0.25">
      <c r="A21" s="3" t="s">
        <v>35</v>
      </c>
      <c r="B21" s="3" t="s">
        <v>90</v>
      </c>
      <c r="C21" s="3" t="s">
        <v>91</v>
      </c>
      <c r="D21" s="3">
        <v>5</v>
      </c>
      <c r="E21" s="3" t="s">
        <v>1250</v>
      </c>
      <c r="F21" s="6" t="s">
        <v>1267</v>
      </c>
    </row>
    <row r="22" ht="57.75" customHeight="1" spans="1:6" x14ac:dyDescent="0.25">
      <c r="A22" s="3" t="s">
        <v>35</v>
      </c>
      <c r="B22" s="3" t="s">
        <v>101</v>
      </c>
      <c r="C22" s="3" t="s">
        <v>102</v>
      </c>
      <c r="D22" s="3">
        <v>2</v>
      </c>
      <c r="E22" s="3" t="s">
        <v>1244</v>
      </c>
      <c r="F22" s="6" t="s">
        <v>1268</v>
      </c>
    </row>
    <row r="23" ht="64.5" customHeight="1" spans="1:6" x14ac:dyDescent="0.25">
      <c r="A23" s="3" t="s">
        <v>35</v>
      </c>
      <c r="B23" s="3" t="s">
        <v>101</v>
      </c>
      <c r="C23" s="3" t="s">
        <v>102</v>
      </c>
      <c r="D23" s="3">
        <v>3</v>
      </c>
      <c r="E23" s="3" t="s">
        <v>1246</v>
      </c>
      <c r="F23" s="6" t="s">
        <v>1269</v>
      </c>
    </row>
    <row r="24" ht="64.5" customHeight="1" spans="1:6" x14ac:dyDescent="0.25">
      <c r="A24" s="3" t="s">
        <v>35</v>
      </c>
      <c r="B24" s="3" t="s">
        <v>101</v>
      </c>
      <c r="C24" s="3" t="s">
        <v>102</v>
      </c>
      <c r="D24" s="3">
        <v>4</v>
      </c>
      <c r="E24" s="3" t="s">
        <v>1248</v>
      </c>
      <c r="F24" s="6" t="s">
        <v>1270</v>
      </c>
    </row>
    <row r="25" ht="64.5" customHeight="1" spans="1:6" x14ac:dyDescent="0.25">
      <c r="A25" s="3" t="s">
        <v>35</v>
      </c>
      <c r="B25" s="3" t="s">
        <v>101</v>
      </c>
      <c r="C25" s="3" t="s">
        <v>102</v>
      </c>
      <c r="D25" s="3">
        <v>5</v>
      </c>
      <c r="E25" s="3" t="s">
        <v>1250</v>
      </c>
      <c r="F25" s="6" t="s">
        <v>1271</v>
      </c>
    </row>
    <row r="26" ht="57.75" customHeight="1" spans="1:6" x14ac:dyDescent="0.25">
      <c r="A26" s="3" t="s">
        <v>35</v>
      </c>
      <c r="B26" s="3" t="s">
        <v>112</v>
      </c>
      <c r="C26" s="3" t="s">
        <v>113</v>
      </c>
      <c r="D26" s="3">
        <v>2</v>
      </c>
      <c r="E26" s="3" t="s">
        <v>1244</v>
      </c>
      <c r="F26" s="6" t="s">
        <v>1272</v>
      </c>
    </row>
    <row r="27" ht="79.5" customHeight="1" spans="1:6" x14ac:dyDescent="0.25">
      <c r="A27" s="3" t="s">
        <v>35</v>
      </c>
      <c r="B27" s="3" t="s">
        <v>112</v>
      </c>
      <c r="C27" s="3" t="s">
        <v>113</v>
      </c>
      <c r="D27" s="3">
        <v>3</v>
      </c>
      <c r="E27" s="3" t="s">
        <v>1246</v>
      </c>
      <c r="F27" s="6" t="s">
        <v>1273</v>
      </c>
    </row>
    <row r="28" ht="64.5" customHeight="1" spans="1:6" x14ac:dyDescent="0.25">
      <c r="A28" s="3" t="s">
        <v>35</v>
      </c>
      <c r="B28" s="3" t="s">
        <v>112</v>
      </c>
      <c r="C28" s="3" t="s">
        <v>113</v>
      </c>
      <c r="D28" s="3">
        <v>4</v>
      </c>
      <c r="E28" s="3" t="s">
        <v>1248</v>
      </c>
      <c r="F28" s="6" t="s">
        <v>1274</v>
      </c>
    </row>
    <row r="29" ht="57.75" customHeight="1" spans="1:6" x14ac:dyDescent="0.25">
      <c r="A29" s="3" t="s">
        <v>35</v>
      </c>
      <c r="B29" s="3" t="s">
        <v>112</v>
      </c>
      <c r="C29" s="3" t="s">
        <v>113</v>
      </c>
      <c r="D29" s="3">
        <v>5</v>
      </c>
      <c r="E29" s="3" t="s">
        <v>1250</v>
      </c>
      <c r="F29" s="6" t="s">
        <v>1275</v>
      </c>
    </row>
    <row r="30" ht="57.75" customHeight="1" spans="1:6" x14ac:dyDescent="0.25">
      <c r="A30" s="3" t="s">
        <v>35</v>
      </c>
      <c r="B30" s="3" t="s">
        <v>123</v>
      </c>
      <c r="C30" s="3" t="s">
        <v>124</v>
      </c>
      <c r="D30" s="3">
        <v>2</v>
      </c>
      <c r="E30" s="3" t="s">
        <v>1244</v>
      </c>
      <c r="F30" s="6" t="s">
        <v>1276</v>
      </c>
    </row>
    <row r="31" ht="64.5" customHeight="1" spans="1:6" x14ac:dyDescent="0.25">
      <c r="A31" s="3" t="s">
        <v>35</v>
      </c>
      <c r="B31" s="3" t="s">
        <v>123</v>
      </c>
      <c r="C31" s="3" t="s">
        <v>124</v>
      </c>
      <c r="D31" s="3">
        <v>3</v>
      </c>
      <c r="E31" s="3" t="s">
        <v>1246</v>
      </c>
      <c r="F31" s="6" t="s">
        <v>1277</v>
      </c>
    </row>
    <row r="32" ht="79.5" customHeight="1" spans="1:6" x14ac:dyDescent="0.25">
      <c r="A32" s="3" t="s">
        <v>35</v>
      </c>
      <c r="B32" s="3" t="s">
        <v>123</v>
      </c>
      <c r="C32" s="3" t="s">
        <v>124</v>
      </c>
      <c r="D32" s="3">
        <v>4</v>
      </c>
      <c r="E32" s="3" t="s">
        <v>1248</v>
      </c>
      <c r="F32" s="6" t="s">
        <v>1278</v>
      </c>
    </row>
    <row r="33" ht="64.5" customHeight="1" spans="1:6" x14ac:dyDescent="0.25">
      <c r="A33" s="3" t="s">
        <v>35</v>
      </c>
      <c r="B33" s="3" t="s">
        <v>123</v>
      </c>
      <c r="C33" s="3" t="s">
        <v>124</v>
      </c>
      <c r="D33" s="3">
        <v>5</v>
      </c>
      <c r="E33" s="3" t="s">
        <v>1250</v>
      </c>
      <c r="F33" s="6" t="s">
        <v>1279</v>
      </c>
    </row>
    <row r="34" ht="64.5" customHeight="1" spans="1:6" x14ac:dyDescent="0.25">
      <c r="A34" s="3" t="s">
        <v>35</v>
      </c>
      <c r="B34" s="3" t="s">
        <v>132</v>
      </c>
      <c r="C34" s="3" t="s">
        <v>133</v>
      </c>
      <c r="D34" s="3">
        <v>2</v>
      </c>
      <c r="E34" s="3" t="s">
        <v>1244</v>
      </c>
      <c r="F34" s="6" t="s">
        <v>1280</v>
      </c>
    </row>
    <row r="35" ht="57.75" customHeight="1" spans="1:6" x14ac:dyDescent="0.25">
      <c r="A35" s="3" t="s">
        <v>35</v>
      </c>
      <c r="B35" s="3" t="s">
        <v>132</v>
      </c>
      <c r="C35" s="3" t="s">
        <v>133</v>
      </c>
      <c r="D35" s="3">
        <v>3</v>
      </c>
      <c r="E35" s="3" t="s">
        <v>1246</v>
      </c>
      <c r="F35" s="6" t="s">
        <v>1281</v>
      </c>
    </row>
    <row r="36" ht="79.5" customHeight="1" spans="1:6" x14ac:dyDescent="0.25">
      <c r="A36" s="3" t="s">
        <v>35</v>
      </c>
      <c r="B36" s="3" t="s">
        <v>132</v>
      </c>
      <c r="C36" s="3" t="s">
        <v>133</v>
      </c>
      <c r="D36" s="3">
        <v>4</v>
      </c>
      <c r="E36" s="3" t="s">
        <v>1248</v>
      </c>
      <c r="F36" s="6" t="s">
        <v>1282</v>
      </c>
    </row>
    <row r="37" ht="64.5" customHeight="1" spans="1:6" x14ac:dyDescent="0.25">
      <c r="A37" s="3" t="s">
        <v>35</v>
      </c>
      <c r="B37" s="3" t="s">
        <v>132</v>
      </c>
      <c r="C37" s="3" t="s">
        <v>133</v>
      </c>
      <c r="D37" s="3">
        <v>5</v>
      </c>
      <c r="E37" s="3" t="s">
        <v>1250</v>
      </c>
      <c r="F37" s="6" t="s">
        <v>1283</v>
      </c>
    </row>
    <row r="38" ht="57.75" customHeight="1" spans="1:6" x14ac:dyDescent="0.25">
      <c r="A38" s="3" t="s">
        <v>35</v>
      </c>
      <c r="B38" s="3" t="s">
        <v>143</v>
      </c>
      <c r="C38" s="3" t="s">
        <v>144</v>
      </c>
      <c r="D38" s="3">
        <v>2</v>
      </c>
      <c r="E38" s="3" t="s">
        <v>1244</v>
      </c>
      <c r="F38" s="6" t="s">
        <v>1284</v>
      </c>
    </row>
    <row r="39" ht="57.75" customHeight="1" spans="1:6" x14ac:dyDescent="0.25">
      <c r="A39" s="3" t="s">
        <v>35</v>
      </c>
      <c r="B39" s="3" t="s">
        <v>143</v>
      </c>
      <c r="C39" s="3" t="s">
        <v>144</v>
      </c>
      <c r="D39" s="3">
        <v>3</v>
      </c>
      <c r="E39" s="3" t="s">
        <v>1246</v>
      </c>
      <c r="F39" s="6" t="s">
        <v>1285</v>
      </c>
    </row>
    <row r="40" ht="57.75" customHeight="1" spans="1:6" x14ac:dyDescent="0.25">
      <c r="A40" s="3" t="s">
        <v>35</v>
      </c>
      <c r="B40" s="3" t="s">
        <v>143</v>
      </c>
      <c r="C40" s="3" t="s">
        <v>144</v>
      </c>
      <c r="D40" s="3">
        <v>4</v>
      </c>
      <c r="E40" s="3" t="s">
        <v>1248</v>
      </c>
      <c r="F40" s="6" t="s">
        <v>1286</v>
      </c>
    </row>
    <row r="41" ht="57.75" customHeight="1" spans="1:6" x14ac:dyDescent="0.25">
      <c r="A41" s="3" t="s">
        <v>35</v>
      </c>
      <c r="B41" s="3" t="s">
        <v>143</v>
      </c>
      <c r="C41" s="3" t="s">
        <v>144</v>
      </c>
      <c r="D41" s="3">
        <v>5</v>
      </c>
      <c r="E41" s="3" t="s">
        <v>1250</v>
      </c>
      <c r="F41" s="6" t="s">
        <v>1287</v>
      </c>
    </row>
    <row r="42" ht="57.75" customHeight="1" spans="1:6" x14ac:dyDescent="0.25">
      <c r="A42" s="3" t="s">
        <v>35</v>
      </c>
      <c r="B42" s="3" t="s">
        <v>154</v>
      </c>
      <c r="C42" s="3" t="s">
        <v>155</v>
      </c>
      <c r="D42" s="3">
        <v>2</v>
      </c>
      <c r="E42" s="3" t="s">
        <v>1244</v>
      </c>
      <c r="F42" s="6" t="s">
        <v>1288</v>
      </c>
    </row>
    <row r="43" ht="57.75" customHeight="1" spans="1:6" x14ac:dyDescent="0.25">
      <c r="A43" s="3" t="s">
        <v>35</v>
      </c>
      <c r="B43" s="3" t="s">
        <v>154</v>
      </c>
      <c r="C43" s="3" t="s">
        <v>155</v>
      </c>
      <c r="D43" s="3">
        <v>3</v>
      </c>
      <c r="E43" s="3" t="s">
        <v>1246</v>
      </c>
      <c r="F43" s="6" t="s">
        <v>1289</v>
      </c>
    </row>
    <row r="44" ht="57.75" customHeight="1" spans="1:6" x14ac:dyDescent="0.25">
      <c r="A44" s="3" t="s">
        <v>35</v>
      </c>
      <c r="B44" s="3" t="s">
        <v>154</v>
      </c>
      <c r="C44" s="3" t="s">
        <v>155</v>
      </c>
      <c r="D44" s="3">
        <v>4</v>
      </c>
      <c r="E44" s="3" t="s">
        <v>1248</v>
      </c>
      <c r="F44" s="6" t="s">
        <v>1290</v>
      </c>
    </row>
    <row r="45" ht="57.75" customHeight="1" spans="1:6" x14ac:dyDescent="0.25">
      <c r="A45" s="3" t="s">
        <v>35</v>
      </c>
      <c r="B45" s="3" t="s">
        <v>154</v>
      </c>
      <c r="C45" s="3" t="s">
        <v>155</v>
      </c>
      <c r="D45" s="3">
        <v>5</v>
      </c>
      <c r="E45" s="3" t="s">
        <v>1250</v>
      </c>
      <c r="F45" s="6" t="s">
        <v>1291</v>
      </c>
    </row>
    <row r="46" ht="79.5" customHeight="1" spans="1:6" x14ac:dyDescent="0.25">
      <c r="A46" s="3" t="s">
        <v>35</v>
      </c>
      <c r="B46" s="3" t="s">
        <v>165</v>
      </c>
      <c r="C46" s="3" t="s">
        <v>166</v>
      </c>
      <c r="D46" s="3">
        <v>2</v>
      </c>
      <c r="E46" s="3" t="s">
        <v>1244</v>
      </c>
      <c r="F46" s="6" t="s">
        <v>1292</v>
      </c>
    </row>
    <row r="47" ht="94.5" customHeight="1" spans="1:6" x14ac:dyDescent="0.25">
      <c r="A47" s="3" t="s">
        <v>35</v>
      </c>
      <c r="B47" s="3" t="s">
        <v>165</v>
      </c>
      <c r="C47" s="3" t="s">
        <v>166</v>
      </c>
      <c r="D47" s="3">
        <v>3</v>
      </c>
      <c r="E47" s="3" t="s">
        <v>1246</v>
      </c>
      <c r="F47" s="6" t="s">
        <v>1293</v>
      </c>
    </row>
    <row r="48" ht="79.5" customHeight="1" spans="1:6" x14ac:dyDescent="0.25">
      <c r="A48" s="3" t="s">
        <v>35</v>
      </c>
      <c r="B48" s="3" t="s">
        <v>165</v>
      </c>
      <c r="C48" s="3" t="s">
        <v>166</v>
      </c>
      <c r="D48" s="3">
        <v>4</v>
      </c>
      <c r="E48" s="3" t="s">
        <v>1248</v>
      </c>
      <c r="F48" s="6" t="s">
        <v>1294</v>
      </c>
    </row>
    <row r="49" ht="64.5" customHeight="1" spans="1:6" x14ac:dyDescent="0.25">
      <c r="A49" s="3" t="s">
        <v>35</v>
      </c>
      <c r="B49" s="3" t="s">
        <v>165</v>
      </c>
      <c r="C49" s="3" t="s">
        <v>166</v>
      </c>
      <c r="D49" s="3">
        <v>5</v>
      </c>
      <c r="E49" s="3" t="s">
        <v>1250</v>
      </c>
      <c r="F49" s="6" t="s">
        <v>1295</v>
      </c>
    </row>
    <row r="50" ht="64.5" customHeight="1" spans="1:6" x14ac:dyDescent="0.25">
      <c r="A50" s="3" t="s">
        <v>35</v>
      </c>
      <c r="B50" s="3" t="s">
        <v>174</v>
      </c>
      <c r="C50" s="3" t="s">
        <v>175</v>
      </c>
      <c r="D50" s="3">
        <v>2</v>
      </c>
      <c r="E50" s="3" t="s">
        <v>1244</v>
      </c>
      <c r="F50" s="6" t="s">
        <v>1296</v>
      </c>
    </row>
    <row r="51" ht="64.5" customHeight="1" spans="1:6" x14ac:dyDescent="0.25">
      <c r="A51" s="3" t="s">
        <v>35</v>
      </c>
      <c r="B51" s="3" t="s">
        <v>174</v>
      </c>
      <c r="C51" s="3" t="s">
        <v>175</v>
      </c>
      <c r="D51" s="3">
        <v>3</v>
      </c>
      <c r="E51" s="3" t="s">
        <v>1246</v>
      </c>
      <c r="F51" s="6" t="s">
        <v>1297</v>
      </c>
    </row>
    <row r="52" ht="79.5" customHeight="1" spans="1:6" x14ac:dyDescent="0.25">
      <c r="A52" s="3" t="s">
        <v>35</v>
      </c>
      <c r="B52" s="3" t="s">
        <v>174</v>
      </c>
      <c r="C52" s="3" t="s">
        <v>175</v>
      </c>
      <c r="D52" s="3">
        <v>4</v>
      </c>
      <c r="E52" s="3" t="s">
        <v>1248</v>
      </c>
      <c r="F52" s="6" t="s">
        <v>1298</v>
      </c>
    </row>
    <row r="53" ht="64.5" customHeight="1" spans="1:6" x14ac:dyDescent="0.25">
      <c r="A53" s="3" t="s">
        <v>35</v>
      </c>
      <c r="B53" s="3" t="s">
        <v>174</v>
      </c>
      <c r="C53" s="3" t="s">
        <v>175</v>
      </c>
      <c r="D53" s="3">
        <v>5</v>
      </c>
      <c r="E53" s="3" t="s">
        <v>1250</v>
      </c>
      <c r="F53" s="6" t="s">
        <v>1299</v>
      </c>
    </row>
    <row r="54" ht="57.75" customHeight="1" spans="1:6" x14ac:dyDescent="0.25">
      <c r="A54" s="3" t="s">
        <v>35</v>
      </c>
      <c r="B54" s="3" t="s">
        <v>183</v>
      </c>
      <c r="C54" s="3" t="s">
        <v>184</v>
      </c>
      <c r="D54" s="3">
        <v>2</v>
      </c>
      <c r="E54" s="3" t="s">
        <v>1244</v>
      </c>
      <c r="F54" s="6" t="s">
        <v>1300</v>
      </c>
    </row>
    <row r="55" ht="57.75" customHeight="1" spans="1:6" x14ac:dyDescent="0.25">
      <c r="A55" s="3" t="s">
        <v>35</v>
      </c>
      <c r="B55" s="3" t="s">
        <v>183</v>
      </c>
      <c r="C55" s="3" t="s">
        <v>184</v>
      </c>
      <c r="D55" s="3">
        <v>3</v>
      </c>
      <c r="E55" s="3" t="s">
        <v>1246</v>
      </c>
      <c r="F55" s="6" t="s">
        <v>1301</v>
      </c>
    </row>
    <row r="56" ht="57.75" customHeight="1" spans="1:6" x14ac:dyDescent="0.25">
      <c r="A56" s="3" t="s">
        <v>35</v>
      </c>
      <c r="B56" s="3" t="s">
        <v>183</v>
      </c>
      <c r="C56" s="3" t="s">
        <v>184</v>
      </c>
      <c r="D56" s="3">
        <v>4</v>
      </c>
      <c r="E56" s="3" t="s">
        <v>1248</v>
      </c>
      <c r="F56" s="6" t="s">
        <v>1302</v>
      </c>
    </row>
    <row r="57" ht="57.75" customHeight="1" spans="1:6" x14ac:dyDescent="0.25">
      <c r="A57" s="3" t="s">
        <v>35</v>
      </c>
      <c r="B57" s="3" t="s">
        <v>183</v>
      </c>
      <c r="C57" s="3" t="s">
        <v>184</v>
      </c>
      <c r="D57" s="3">
        <v>5</v>
      </c>
      <c r="E57" s="3" t="s">
        <v>1250</v>
      </c>
      <c r="F57" s="6" t="s">
        <v>1303</v>
      </c>
    </row>
    <row r="58" ht="57.75" customHeight="1" spans="1:6" x14ac:dyDescent="0.25">
      <c r="A58" s="3" t="s">
        <v>35</v>
      </c>
      <c r="B58" s="3" t="s">
        <v>192</v>
      </c>
      <c r="C58" s="3" t="s">
        <v>193</v>
      </c>
      <c r="D58" s="3">
        <v>2</v>
      </c>
      <c r="E58" s="3" t="s">
        <v>1244</v>
      </c>
      <c r="F58" s="6" t="s">
        <v>1304</v>
      </c>
    </row>
    <row r="59" ht="57.75" customHeight="1" spans="1:6" x14ac:dyDescent="0.25">
      <c r="A59" s="3" t="s">
        <v>35</v>
      </c>
      <c r="B59" s="3" t="s">
        <v>192</v>
      </c>
      <c r="C59" s="3" t="s">
        <v>193</v>
      </c>
      <c r="D59" s="3">
        <v>3</v>
      </c>
      <c r="E59" s="3" t="s">
        <v>1246</v>
      </c>
      <c r="F59" s="6" t="s">
        <v>1305</v>
      </c>
    </row>
    <row r="60" ht="57.75" customHeight="1" spans="1:6" x14ac:dyDescent="0.25">
      <c r="A60" s="3" t="s">
        <v>35</v>
      </c>
      <c r="B60" s="3" t="s">
        <v>192</v>
      </c>
      <c r="C60" s="3" t="s">
        <v>193</v>
      </c>
      <c r="D60" s="3">
        <v>4</v>
      </c>
      <c r="E60" s="3" t="s">
        <v>1248</v>
      </c>
      <c r="F60" s="6" t="s">
        <v>1306</v>
      </c>
    </row>
    <row r="61" ht="57.75" customHeight="1" spans="1:6" x14ac:dyDescent="0.25">
      <c r="A61" s="3" t="s">
        <v>35</v>
      </c>
      <c r="B61" s="3" t="s">
        <v>192</v>
      </c>
      <c r="C61" s="3" t="s">
        <v>193</v>
      </c>
      <c r="D61" s="3">
        <v>5</v>
      </c>
      <c r="E61" s="3" t="s">
        <v>1250</v>
      </c>
      <c r="F61" s="6" t="s">
        <v>1307</v>
      </c>
    </row>
    <row r="62" ht="57.75" customHeight="1" spans="1:6" x14ac:dyDescent="0.25">
      <c r="A62" s="3" t="s">
        <v>35</v>
      </c>
      <c r="B62" s="3" t="s">
        <v>203</v>
      </c>
      <c r="C62" s="3" t="s">
        <v>204</v>
      </c>
      <c r="D62" s="3">
        <v>2</v>
      </c>
      <c r="E62" s="3" t="s">
        <v>1244</v>
      </c>
      <c r="F62" s="6" t="s">
        <v>1308</v>
      </c>
    </row>
    <row r="63" ht="57.75" customHeight="1" spans="1:6" x14ac:dyDescent="0.25">
      <c r="A63" s="3" t="s">
        <v>35</v>
      </c>
      <c r="B63" s="3" t="s">
        <v>203</v>
      </c>
      <c r="C63" s="3" t="s">
        <v>204</v>
      </c>
      <c r="D63" s="3">
        <v>3</v>
      </c>
      <c r="E63" s="3" t="s">
        <v>1246</v>
      </c>
      <c r="F63" s="6" t="s">
        <v>1309</v>
      </c>
    </row>
    <row r="64" ht="57.75" customHeight="1" spans="1:6" x14ac:dyDescent="0.25">
      <c r="A64" s="3" t="s">
        <v>35</v>
      </c>
      <c r="B64" s="3" t="s">
        <v>203</v>
      </c>
      <c r="C64" s="3" t="s">
        <v>204</v>
      </c>
      <c r="D64" s="3">
        <v>4</v>
      </c>
      <c r="E64" s="3" t="s">
        <v>1248</v>
      </c>
      <c r="F64" s="6" t="s">
        <v>1310</v>
      </c>
    </row>
    <row r="65" ht="57.75" customHeight="1" spans="1:6" x14ac:dyDescent="0.25">
      <c r="A65" s="3" t="s">
        <v>35</v>
      </c>
      <c r="B65" s="3" t="s">
        <v>203</v>
      </c>
      <c r="C65" s="3" t="s">
        <v>204</v>
      </c>
      <c r="D65" s="3">
        <v>5</v>
      </c>
      <c r="E65" s="3" t="s">
        <v>1250</v>
      </c>
      <c r="F65" s="6" t="s">
        <v>1311</v>
      </c>
    </row>
    <row r="66" ht="57.75" customHeight="1" spans="1:6" x14ac:dyDescent="0.25">
      <c r="A66" s="3" t="s">
        <v>35</v>
      </c>
      <c r="B66" s="3" t="s">
        <v>214</v>
      </c>
      <c r="C66" s="3" t="s">
        <v>215</v>
      </c>
      <c r="D66" s="3">
        <v>2</v>
      </c>
      <c r="E66" s="3" t="s">
        <v>1244</v>
      </c>
      <c r="F66" s="6" t="s">
        <v>1312</v>
      </c>
    </row>
    <row r="67" ht="57.75" customHeight="1" spans="1:6" x14ac:dyDescent="0.25">
      <c r="A67" s="3" t="s">
        <v>35</v>
      </c>
      <c r="B67" s="3" t="s">
        <v>214</v>
      </c>
      <c r="C67" s="3" t="s">
        <v>215</v>
      </c>
      <c r="D67" s="3">
        <v>3</v>
      </c>
      <c r="E67" s="3" t="s">
        <v>1246</v>
      </c>
      <c r="F67" s="6" t="s">
        <v>1313</v>
      </c>
    </row>
    <row r="68" ht="57.75" customHeight="1" spans="1:6" x14ac:dyDescent="0.25">
      <c r="A68" s="3" t="s">
        <v>35</v>
      </c>
      <c r="B68" s="3" t="s">
        <v>214</v>
      </c>
      <c r="C68" s="3" t="s">
        <v>215</v>
      </c>
      <c r="D68" s="3">
        <v>4</v>
      </c>
      <c r="E68" s="3" t="s">
        <v>1248</v>
      </c>
      <c r="F68" s="6" t="s">
        <v>1314</v>
      </c>
    </row>
    <row r="69" ht="57.75" customHeight="1" spans="1:6" x14ac:dyDescent="0.25">
      <c r="A69" s="3" t="s">
        <v>35</v>
      </c>
      <c r="B69" s="3" t="s">
        <v>214</v>
      </c>
      <c r="C69" s="3" t="s">
        <v>215</v>
      </c>
      <c r="D69" s="3">
        <v>5</v>
      </c>
      <c r="E69" s="3" t="s">
        <v>1250</v>
      </c>
      <c r="F69" s="6" t="s">
        <v>1315</v>
      </c>
    </row>
    <row r="70" ht="57.75" customHeight="1" spans="1:6" x14ac:dyDescent="0.25">
      <c r="A70" s="3" t="s">
        <v>35</v>
      </c>
      <c r="B70" s="3" t="s">
        <v>227</v>
      </c>
      <c r="C70" s="3" t="s">
        <v>228</v>
      </c>
      <c r="D70" s="3">
        <v>2</v>
      </c>
      <c r="E70" s="3" t="s">
        <v>1244</v>
      </c>
      <c r="F70" s="6" t="s">
        <v>1316</v>
      </c>
    </row>
    <row r="71" ht="57.75" customHeight="1" spans="1:6" x14ac:dyDescent="0.25">
      <c r="A71" s="3" t="s">
        <v>35</v>
      </c>
      <c r="B71" s="3" t="s">
        <v>227</v>
      </c>
      <c r="C71" s="3" t="s">
        <v>228</v>
      </c>
      <c r="D71" s="3">
        <v>3</v>
      </c>
      <c r="E71" s="3" t="s">
        <v>1246</v>
      </c>
      <c r="F71" s="6" t="s">
        <v>1317</v>
      </c>
    </row>
    <row r="72" ht="57.75" customHeight="1" spans="1:6" x14ac:dyDescent="0.25">
      <c r="A72" s="3" t="s">
        <v>35</v>
      </c>
      <c r="B72" s="3" t="s">
        <v>227</v>
      </c>
      <c r="C72" s="3" t="s">
        <v>228</v>
      </c>
      <c r="D72" s="3">
        <v>4</v>
      </c>
      <c r="E72" s="3" t="s">
        <v>1248</v>
      </c>
      <c r="F72" s="6" t="s">
        <v>1318</v>
      </c>
    </row>
    <row r="73" ht="57.75" customHeight="1" spans="1:6" x14ac:dyDescent="0.25">
      <c r="A73" s="3" t="s">
        <v>35</v>
      </c>
      <c r="B73" s="3" t="s">
        <v>227</v>
      </c>
      <c r="C73" s="3" t="s">
        <v>228</v>
      </c>
      <c r="D73" s="3">
        <v>5</v>
      </c>
      <c r="E73" s="3" t="s">
        <v>1250</v>
      </c>
      <c r="F73" s="6" t="s">
        <v>1319</v>
      </c>
    </row>
    <row r="74" ht="57.75" customHeight="1" spans="1:6" x14ac:dyDescent="0.25">
      <c r="A74" s="3" t="s">
        <v>35</v>
      </c>
      <c r="B74" s="3" t="s">
        <v>238</v>
      </c>
      <c r="C74" s="3" t="s">
        <v>239</v>
      </c>
      <c r="D74" s="3">
        <v>2</v>
      </c>
      <c r="E74" s="3" t="s">
        <v>1244</v>
      </c>
      <c r="F74" s="6" t="s">
        <v>1320</v>
      </c>
    </row>
    <row r="75" ht="57.75" customHeight="1" spans="1:6" x14ac:dyDescent="0.25">
      <c r="A75" s="3" t="s">
        <v>35</v>
      </c>
      <c r="B75" s="3" t="s">
        <v>238</v>
      </c>
      <c r="C75" s="3" t="s">
        <v>239</v>
      </c>
      <c r="D75" s="3">
        <v>3</v>
      </c>
      <c r="E75" s="3" t="s">
        <v>1246</v>
      </c>
      <c r="F75" s="6" t="s">
        <v>1321</v>
      </c>
    </row>
    <row r="76" ht="57.75" customHeight="1" spans="1:6" x14ac:dyDescent="0.25">
      <c r="A76" s="3" t="s">
        <v>35</v>
      </c>
      <c r="B76" s="3" t="s">
        <v>238</v>
      </c>
      <c r="C76" s="3" t="s">
        <v>239</v>
      </c>
      <c r="D76" s="3">
        <v>4</v>
      </c>
      <c r="E76" s="3" t="s">
        <v>1248</v>
      </c>
      <c r="F76" s="6" t="s">
        <v>1322</v>
      </c>
    </row>
    <row r="77" ht="64.5" customHeight="1" spans="1:6" x14ac:dyDescent="0.25">
      <c r="A77" s="3" t="s">
        <v>35</v>
      </c>
      <c r="B77" s="3" t="s">
        <v>238</v>
      </c>
      <c r="C77" s="3" t="s">
        <v>239</v>
      </c>
      <c r="D77" s="3">
        <v>5</v>
      </c>
      <c r="E77" s="3" t="s">
        <v>1250</v>
      </c>
      <c r="F77" s="6" t="s">
        <v>1323</v>
      </c>
    </row>
    <row r="78" ht="57.75" customHeight="1" spans="1:6" x14ac:dyDescent="0.25">
      <c r="A78" s="3" t="s">
        <v>35</v>
      </c>
      <c r="B78" s="3" t="s">
        <v>247</v>
      </c>
      <c r="C78" s="3" t="s">
        <v>248</v>
      </c>
      <c r="D78" s="3">
        <v>2</v>
      </c>
      <c r="E78" s="3" t="s">
        <v>1244</v>
      </c>
      <c r="F78" s="6" t="s">
        <v>1324</v>
      </c>
    </row>
    <row r="79" ht="57.75" customHeight="1" spans="1:6" x14ac:dyDescent="0.25">
      <c r="A79" s="3" t="s">
        <v>35</v>
      </c>
      <c r="B79" s="3" t="s">
        <v>247</v>
      </c>
      <c r="C79" s="3" t="s">
        <v>248</v>
      </c>
      <c r="D79" s="3">
        <v>3</v>
      </c>
      <c r="E79" s="3" t="s">
        <v>1246</v>
      </c>
      <c r="F79" s="6" t="s">
        <v>1325</v>
      </c>
    </row>
    <row r="80" ht="57.75" customHeight="1" spans="1:6" x14ac:dyDescent="0.25">
      <c r="A80" s="3" t="s">
        <v>35</v>
      </c>
      <c r="B80" s="3" t="s">
        <v>247</v>
      </c>
      <c r="C80" s="3" t="s">
        <v>248</v>
      </c>
      <c r="D80" s="3">
        <v>4</v>
      </c>
      <c r="E80" s="3" t="s">
        <v>1248</v>
      </c>
      <c r="F80" s="6" t="s">
        <v>1326</v>
      </c>
    </row>
    <row r="81" ht="57.75" customHeight="1" spans="1:6" x14ac:dyDescent="0.25">
      <c r="A81" s="3" t="s">
        <v>35</v>
      </c>
      <c r="B81" s="3" t="s">
        <v>247</v>
      </c>
      <c r="C81" s="3" t="s">
        <v>248</v>
      </c>
      <c r="D81" s="3">
        <v>5</v>
      </c>
      <c r="E81" s="3" t="s">
        <v>1250</v>
      </c>
      <c r="F81" s="6" t="s">
        <v>1327</v>
      </c>
    </row>
    <row r="82" ht="57.75" customHeight="1" spans="1:6" x14ac:dyDescent="0.25">
      <c r="A82" s="3" t="s">
        <v>35</v>
      </c>
      <c r="B82" s="3" t="s">
        <v>258</v>
      </c>
      <c r="C82" s="3" t="s">
        <v>259</v>
      </c>
      <c r="D82" s="3">
        <v>2</v>
      </c>
      <c r="E82" s="3" t="s">
        <v>1244</v>
      </c>
      <c r="F82" s="6" t="s">
        <v>1328</v>
      </c>
    </row>
    <row r="83" ht="57.75" customHeight="1" spans="1:6" x14ac:dyDescent="0.25">
      <c r="A83" s="3" t="s">
        <v>35</v>
      </c>
      <c r="B83" s="3" t="s">
        <v>258</v>
      </c>
      <c r="C83" s="3" t="s">
        <v>259</v>
      </c>
      <c r="D83" s="3">
        <v>3</v>
      </c>
      <c r="E83" s="3" t="s">
        <v>1246</v>
      </c>
      <c r="F83" s="6" t="s">
        <v>1329</v>
      </c>
    </row>
    <row r="84" ht="57.75" customHeight="1" spans="1:6" x14ac:dyDescent="0.25">
      <c r="A84" s="3" t="s">
        <v>35</v>
      </c>
      <c r="B84" s="3" t="s">
        <v>258</v>
      </c>
      <c r="C84" s="3" t="s">
        <v>259</v>
      </c>
      <c r="D84" s="3">
        <v>4</v>
      </c>
      <c r="E84" s="3" t="s">
        <v>1248</v>
      </c>
      <c r="F84" s="6" t="s">
        <v>1330</v>
      </c>
    </row>
    <row r="85" ht="57.75" customHeight="1" spans="1:6" x14ac:dyDescent="0.25">
      <c r="A85" s="3" t="s">
        <v>35</v>
      </c>
      <c r="B85" s="3" t="s">
        <v>258</v>
      </c>
      <c r="C85" s="3" t="s">
        <v>259</v>
      </c>
      <c r="D85" s="3">
        <v>5</v>
      </c>
      <c r="E85" s="3" t="s">
        <v>1250</v>
      </c>
      <c r="F85" s="6" t="s">
        <v>1331</v>
      </c>
    </row>
    <row r="86" ht="124.5" customHeight="1" spans="1:6" x14ac:dyDescent="0.25">
      <c r="A86" s="3" t="s">
        <v>35</v>
      </c>
      <c r="B86" s="3" t="s">
        <v>271</v>
      </c>
      <c r="C86" s="3" t="s">
        <v>272</v>
      </c>
      <c r="D86" s="3">
        <v>2</v>
      </c>
      <c r="E86" s="3" t="s">
        <v>1244</v>
      </c>
      <c r="F86" s="6" t="s">
        <v>1332</v>
      </c>
    </row>
    <row r="87" ht="124.5" customHeight="1" spans="1:6" x14ac:dyDescent="0.25">
      <c r="A87" s="3" t="s">
        <v>35</v>
      </c>
      <c r="B87" s="3" t="s">
        <v>271</v>
      </c>
      <c r="C87" s="3" t="s">
        <v>272</v>
      </c>
      <c r="D87" s="3">
        <v>3</v>
      </c>
      <c r="E87" s="3" t="s">
        <v>1246</v>
      </c>
      <c r="F87" s="6" t="s">
        <v>1333</v>
      </c>
    </row>
    <row r="88" ht="124.5" customHeight="1" spans="1:6" x14ac:dyDescent="0.25">
      <c r="A88" s="3" t="s">
        <v>35</v>
      </c>
      <c r="B88" s="3" t="s">
        <v>271</v>
      </c>
      <c r="C88" s="3" t="s">
        <v>272</v>
      </c>
      <c r="D88" s="3">
        <v>4</v>
      </c>
      <c r="E88" s="3" t="s">
        <v>1248</v>
      </c>
      <c r="F88" s="6" t="s">
        <v>1334</v>
      </c>
    </row>
    <row r="89" ht="109.5" customHeight="1" spans="1:6" x14ac:dyDescent="0.25">
      <c r="A89" s="3" t="s">
        <v>35</v>
      </c>
      <c r="B89" s="3" t="s">
        <v>271</v>
      </c>
      <c r="C89" s="3" t="s">
        <v>272</v>
      </c>
      <c r="D89" s="3">
        <v>5</v>
      </c>
      <c r="E89" s="3" t="s">
        <v>1250</v>
      </c>
      <c r="F89" s="6" t="s">
        <v>1335</v>
      </c>
    </row>
    <row r="90" ht="57.75" customHeight="1" spans="1:6" x14ac:dyDescent="0.25">
      <c r="A90" s="3" t="s">
        <v>35</v>
      </c>
      <c r="B90" s="3" t="s">
        <v>280</v>
      </c>
      <c r="C90" s="3" t="s">
        <v>281</v>
      </c>
      <c r="D90" s="3">
        <v>2</v>
      </c>
      <c r="E90" s="3" t="s">
        <v>1244</v>
      </c>
      <c r="F90" s="6" t="s">
        <v>1336</v>
      </c>
    </row>
    <row r="91" ht="57.75" customHeight="1" spans="1:6" x14ac:dyDescent="0.25">
      <c r="A91" s="3" t="s">
        <v>35</v>
      </c>
      <c r="B91" s="3" t="s">
        <v>280</v>
      </c>
      <c r="C91" s="3" t="s">
        <v>281</v>
      </c>
      <c r="D91" s="3">
        <v>3</v>
      </c>
      <c r="E91" s="3" t="s">
        <v>1246</v>
      </c>
      <c r="F91" s="6" t="s">
        <v>1337</v>
      </c>
    </row>
    <row r="92" ht="57.75" customHeight="1" spans="1:6" x14ac:dyDescent="0.25">
      <c r="A92" s="3" t="s">
        <v>35</v>
      </c>
      <c r="B92" s="3" t="s">
        <v>280</v>
      </c>
      <c r="C92" s="3" t="s">
        <v>281</v>
      </c>
      <c r="D92" s="3">
        <v>4</v>
      </c>
      <c r="E92" s="3" t="s">
        <v>1248</v>
      </c>
      <c r="F92" s="6" t="s">
        <v>1338</v>
      </c>
    </row>
    <row r="93" ht="57.75" customHeight="1" spans="1:6" x14ac:dyDescent="0.25">
      <c r="A93" s="3" t="s">
        <v>35</v>
      </c>
      <c r="B93" s="3" t="s">
        <v>280</v>
      </c>
      <c r="C93" s="3" t="s">
        <v>281</v>
      </c>
      <c r="D93" s="3">
        <v>5</v>
      </c>
      <c r="E93" s="3" t="s">
        <v>1250</v>
      </c>
      <c r="F93" s="6" t="s">
        <v>1339</v>
      </c>
    </row>
    <row r="94" ht="57.75" customHeight="1" spans="1:6" x14ac:dyDescent="0.25">
      <c r="A94" s="3" t="s">
        <v>35</v>
      </c>
      <c r="B94" s="3" t="s">
        <v>291</v>
      </c>
      <c r="C94" s="3" t="s">
        <v>292</v>
      </c>
      <c r="D94" s="3">
        <v>2</v>
      </c>
      <c r="E94" s="3" t="s">
        <v>1244</v>
      </c>
      <c r="F94" s="6" t="s">
        <v>1340</v>
      </c>
    </row>
    <row r="95" ht="57.75" customHeight="1" spans="1:6" x14ac:dyDescent="0.25">
      <c r="A95" s="3" t="s">
        <v>35</v>
      </c>
      <c r="B95" s="3" t="s">
        <v>291</v>
      </c>
      <c r="C95" s="3" t="s">
        <v>292</v>
      </c>
      <c r="D95" s="3">
        <v>3</v>
      </c>
      <c r="E95" s="3" t="s">
        <v>1246</v>
      </c>
      <c r="F95" s="6" t="s">
        <v>1341</v>
      </c>
    </row>
    <row r="96" ht="57.75" customHeight="1" spans="1:6" x14ac:dyDescent="0.25">
      <c r="A96" s="3" t="s">
        <v>35</v>
      </c>
      <c r="B96" s="3" t="s">
        <v>291</v>
      </c>
      <c r="C96" s="3" t="s">
        <v>292</v>
      </c>
      <c r="D96" s="3">
        <v>4</v>
      </c>
      <c r="E96" s="3" t="s">
        <v>1248</v>
      </c>
      <c r="F96" s="6" t="s">
        <v>1342</v>
      </c>
    </row>
    <row r="97" ht="57.75" customHeight="1" spans="1:6" x14ac:dyDescent="0.25">
      <c r="A97" s="3" t="s">
        <v>35</v>
      </c>
      <c r="B97" s="3" t="s">
        <v>291</v>
      </c>
      <c r="C97" s="3" t="s">
        <v>292</v>
      </c>
      <c r="D97" s="3">
        <v>5</v>
      </c>
      <c r="E97" s="3" t="s">
        <v>1250</v>
      </c>
      <c r="F97" s="6" t="s">
        <v>1343</v>
      </c>
    </row>
    <row r="98" ht="57.75" customHeight="1" spans="1:6" x14ac:dyDescent="0.25">
      <c r="A98" s="3" t="s">
        <v>35</v>
      </c>
      <c r="B98" s="3" t="s">
        <v>300</v>
      </c>
      <c r="C98" s="3" t="s">
        <v>301</v>
      </c>
      <c r="D98" s="3">
        <v>2</v>
      </c>
      <c r="E98" s="3" t="s">
        <v>1244</v>
      </c>
      <c r="F98" s="6" t="s">
        <v>1344</v>
      </c>
    </row>
    <row r="99" ht="57.75" customHeight="1" spans="1:6" x14ac:dyDescent="0.25">
      <c r="A99" s="3" t="s">
        <v>35</v>
      </c>
      <c r="B99" s="3" t="s">
        <v>300</v>
      </c>
      <c r="C99" s="3" t="s">
        <v>301</v>
      </c>
      <c r="D99" s="3">
        <v>3</v>
      </c>
      <c r="E99" s="3" t="s">
        <v>1246</v>
      </c>
      <c r="F99" s="6" t="s">
        <v>1345</v>
      </c>
    </row>
    <row r="100" ht="57.75" customHeight="1" spans="1:6" x14ac:dyDescent="0.25">
      <c r="A100" s="3" t="s">
        <v>35</v>
      </c>
      <c r="B100" s="3" t="s">
        <v>300</v>
      </c>
      <c r="C100" s="3" t="s">
        <v>301</v>
      </c>
      <c r="D100" s="3">
        <v>4</v>
      </c>
      <c r="E100" s="3" t="s">
        <v>1248</v>
      </c>
      <c r="F100" s="6" t="s">
        <v>1346</v>
      </c>
    </row>
    <row r="101" ht="57.75" customHeight="1" spans="1:6" x14ac:dyDescent="0.25">
      <c r="A101" s="3" t="s">
        <v>35</v>
      </c>
      <c r="B101" s="3" t="s">
        <v>300</v>
      </c>
      <c r="C101" s="3" t="s">
        <v>301</v>
      </c>
      <c r="D101" s="3">
        <v>5</v>
      </c>
      <c r="E101" s="3" t="s">
        <v>1250</v>
      </c>
      <c r="F101" s="6" t="s">
        <v>1347</v>
      </c>
    </row>
    <row r="102" ht="57.75" customHeight="1" spans="1:6" x14ac:dyDescent="0.25">
      <c r="A102" s="3" t="s">
        <v>35</v>
      </c>
      <c r="B102" s="3" t="s">
        <v>311</v>
      </c>
      <c r="C102" s="3" t="s">
        <v>312</v>
      </c>
      <c r="D102" s="3">
        <v>2</v>
      </c>
      <c r="E102" s="3" t="s">
        <v>1244</v>
      </c>
      <c r="F102" s="6" t="s">
        <v>1348</v>
      </c>
    </row>
    <row r="103" ht="57.75" customHeight="1" spans="1:6" x14ac:dyDescent="0.25">
      <c r="A103" s="3" t="s">
        <v>35</v>
      </c>
      <c r="B103" s="3" t="s">
        <v>311</v>
      </c>
      <c r="C103" s="3" t="s">
        <v>312</v>
      </c>
      <c r="D103" s="3">
        <v>3</v>
      </c>
      <c r="E103" s="3" t="s">
        <v>1246</v>
      </c>
      <c r="F103" s="6" t="s">
        <v>1349</v>
      </c>
    </row>
    <row r="104" ht="57.75" customHeight="1" spans="1:6" x14ac:dyDescent="0.25">
      <c r="A104" s="3" t="s">
        <v>35</v>
      </c>
      <c r="B104" s="3" t="s">
        <v>311</v>
      </c>
      <c r="C104" s="3" t="s">
        <v>312</v>
      </c>
      <c r="D104" s="3">
        <v>4</v>
      </c>
      <c r="E104" s="3" t="s">
        <v>1248</v>
      </c>
      <c r="F104" s="6" t="s">
        <v>1350</v>
      </c>
    </row>
    <row r="105" ht="57.75" customHeight="1" spans="1:6" x14ac:dyDescent="0.25">
      <c r="A105" s="3" t="s">
        <v>35</v>
      </c>
      <c r="B105" s="3" t="s">
        <v>311</v>
      </c>
      <c r="C105" s="3" t="s">
        <v>312</v>
      </c>
      <c r="D105" s="3">
        <v>5</v>
      </c>
      <c r="E105" s="3" t="s">
        <v>1250</v>
      </c>
      <c r="F105" s="6" t="s">
        <v>1351</v>
      </c>
    </row>
    <row r="106" ht="64.5" customHeight="1" spans="1:6" x14ac:dyDescent="0.25">
      <c r="A106" s="3" t="s">
        <v>35</v>
      </c>
      <c r="B106" s="3" t="s">
        <v>321</v>
      </c>
      <c r="C106" s="3" t="s">
        <v>322</v>
      </c>
      <c r="D106" s="3">
        <v>2</v>
      </c>
      <c r="E106" s="3" t="s">
        <v>1244</v>
      </c>
      <c r="F106" s="6" t="s">
        <v>1352</v>
      </c>
    </row>
    <row r="107" ht="79.5" customHeight="1" spans="1:6" x14ac:dyDescent="0.25">
      <c r="A107" s="3" t="s">
        <v>35</v>
      </c>
      <c r="B107" s="3" t="s">
        <v>321</v>
      </c>
      <c r="C107" s="3" t="s">
        <v>322</v>
      </c>
      <c r="D107" s="3">
        <v>3</v>
      </c>
      <c r="E107" s="3" t="s">
        <v>1246</v>
      </c>
      <c r="F107" s="6" t="s">
        <v>1353</v>
      </c>
    </row>
    <row r="108" ht="79.5" customHeight="1" spans="1:6" x14ac:dyDescent="0.25">
      <c r="A108" s="3" t="s">
        <v>35</v>
      </c>
      <c r="B108" s="3" t="s">
        <v>321</v>
      </c>
      <c r="C108" s="3" t="s">
        <v>322</v>
      </c>
      <c r="D108" s="3">
        <v>4</v>
      </c>
      <c r="E108" s="3" t="s">
        <v>1248</v>
      </c>
      <c r="F108" s="6" t="s">
        <v>1354</v>
      </c>
    </row>
    <row r="109" ht="79.5" customHeight="1" spans="1:6" x14ac:dyDescent="0.25">
      <c r="A109" s="3" t="s">
        <v>35</v>
      </c>
      <c r="B109" s="3" t="s">
        <v>321</v>
      </c>
      <c r="C109" s="3" t="s">
        <v>322</v>
      </c>
      <c r="D109" s="3">
        <v>5</v>
      </c>
      <c r="E109" s="3" t="s">
        <v>1250</v>
      </c>
      <c r="F109" s="6" t="s">
        <v>1355</v>
      </c>
    </row>
    <row r="110" ht="57.75" customHeight="1" spans="1:6" x14ac:dyDescent="0.25">
      <c r="A110" s="3" t="s">
        <v>35</v>
      </c>
      <c r="B110" s="3" t="s">
        <v>336</v>
      </c>
      <c r="C110" s="3" t="s">
        <v>337</v>
      </c>
      <c r="D110" s="3">
        <v>2</v>
      </c>
      <c r="E110" s="3" t="s">
        <v>1244</v>
      </c>
      <c r="F110" s="6" t="s">
        <v>1356</v>
      </c>
    </row>
    <row r="111" ht="79.5" customHeight="1" spans="1:6" x14ac:dyDescent="0.25">
      <c r="A111" s="3" t="s">
        <v>35</v>
      </c>
      <c r="B111" s="3" t="s">
        <v>336</v>
      </c>
      <c r="C111" s="3" t="s">
        <v>337</v>
      </c>
      <c r="D111" s="3">
        <v>3</v>
      </c>
      <c r="E111" s="3" t="s">
        <v>1246</v>
      </c>
      <c r="F111" s="6" t="s">
        <v>1357</v>
      </c>
    </row>
    <row r="112" ht="64.5" customHeight="1" spans="1:6" x14ac:dyDescent="0.25">
      <c r="A112" s="3" t="s">
        <v>35</v>
      </c>
      <c r="B112" s="3" t="s">
        <v>336</v>
      </c>
      <c r="C112" s="3" t="s">
        <v>337</v>
      </c>
      <c r="D112" s="3">
        <v>4</v>
      </c>
      <c r="E112" s="3" t="s">
        <v>1248</v>
      </c>
      <c r="F112" s="6" t="s">
        <v>1358</v>
      </c>
    </row>
    <row r="113" ht="64.5" customHeight="1" spans="1:6" x14ac:dyDescent="0.25">
      <c r="A113" s="3" t="s">
        <v>35</v>
      </c>
      <c r="B113" s="3" t="s">
        <v>336</v>
      </c>
      <c r="C113" s="3" t="s">
        <v>337</v>
      </c>
      <c r="D113" s="3">
        <v>5</v>
      </c>
      <c r="E113" s="3" t="s">
        <v>1250</v>
      </c>
      <c r="F113" s="6" t="s">
        <v>1359</v>
      </c>
    </row>
    <row r="114" ht="79.5" customHeight="1" spans="1:6" x14ac:dyDescent="0.25">
      <c r="A114" s="3" t="s">
        <v>35</v>
      </c>
      <c r="B114" s="3" t="s">
        <v>349</v>
      </c>
      <c r="C114" s="3" t="s">
        <v>350</v>
      </c>
      <c r="D114" s="3">
        <v>2</v>
      </c>
      <c r="E114" s="3" t="s">
        <v>1244</v>
      </c>
      <c r="F114" s="6" t="s">
        <v>1360</v>
      </c>
    </row>
    <row r="115" ht="79.5" customHeight="1" spans="1:6" x14ac:dyDescent="0.25">
      <c r="A115" s="3" t="s">
        <v>35</v>
      </c>
      <c r="B115" s="3" t="s">
        <v>349</v>
      </c>
      <c r="C115" s="3" t="s">
        <v>350</v>
      </c>
      <c r="D115" s="3">
        <v>3</v>
      </c>
      <c r="E115" s="3" t="s">
        <v>1246</v>
      </c>
      <c r="F115" s="6" t="s">
        <v>1361</v>
      </c>
    </row>
    <row r="116" ht="79.5" customHeight="1" spans="1:6" x14ac:dyDescent="0.25">
      <c r="A116" s="3" t="s">
        <v>35</v>
      </c>
      <c r="B116" s="3" t="s">
        <v>349</v>
      </c>
      <c r="C116" s="3" t="s">
        <v>350</v>
      </c>
      <c r="D116" s="3">
        <v>4</v>
      </c>
      <c r="E116" s="3" t="s">
        <v>1248</v>
      </c>
      <c r="F116" s="6" t="s">
        <v>1362</v>
      </c>
    </row>
    <row r="117" ht="79.5" customHeight="1" spans="1:6" x14ac:dyDescent="0.25">
      <c r="A117" s="3" t="s">
        <v>35</v>
      </c>
      <c r="B117" s="3" t="s">
        <v>349</v>
      </c>
      <c r="C117" s="3" t="s">
        <v>350</v>
      </c>
      <c r="D117" s="3">
        <v>5</v>
      </c>
      <c r="E117" s="3" t="s">
        <v>1250</v>
      </c>
      <c r="F117" s="6" t="s">
        <v>1363</v>
      </c>
    </row>
    <row r="118" ht="64.5" customHeight="1" spans="1:6" x14ac:dyDescent="0.25">
      <c r="A118" s="3" t="s">
        <v>35</v>
      </c>
      <c r="B118" s="3" t="s">
        <v>358</v>
      </c>
      <c r="C118" s="3" t="s">
        <v>359</v>
      </c>
      <c r="D118" s="3">
        <v>2</v>
      </c>
      <c r="E118" s="3" t="s">
        <v>1244</v>
      </c>
      <c r="F118" s="6" t="s">
        <v>1364</v>
      </c>
    </row>
    <row r="119" ht="139.5" customHeight="1" spans="1:6" x14ac:dyDescent="0.25">
      <c r="A119" s="3" t="s">
        <v>35</v>
      </c>
      <c r="B119" s="3" t="s">
        <v>358</v>
      </c>
      <c r="C119" s="3" t="s">
        <v>359</v>
      </c>
      <c r="D119" s="3">
        <v>3</v>
      </c>
      <c r="E119" s="3" t="s">
        <v>1246</v>
      </c>
      <c r="F119" s="6" t="s">
        <v>1365</v>
      </c>
    </row>
    <row r="120" ht="139.5" customHeight="1" spans="1:6" x14ac:dyDescent="0.25">
      <c r="A120" s="3" t="s">
        <v>35</v>
      </c>
      <c r="B120" s="3" t="s">
        <v>358</v>
      </c>
      <c r="C120" s="3" t="s">
        <v>359</v>
      </c>
      <c r="D120" s="3">
        <v>4</v>
      </c>
      <c r="E120" s="3" t="s">
        <v>1248</v>
      </c>
      <c r="F120" s="6" t="s">
        <v>1366</v>
      </c>
    </row>
    <row r="121" ht="139.5" customHeight="1" spans="1:6" x14ac:dyDescent="0.25">
      <c r="A121" s="3" t="s">
        <v>35</v>
      </c>
      <c r="B121" s="3" t="s">
        <v>358</v>
      </c>
      <c r="C121" s="3" t="s">
        <v>359</v>
      </c>
      <c r="D121" s="3">
        <v>5</v>
      </c>
      <c r="E121" s="3" t="s">
        <v>1250</v>
      </c>
      <c r="F121" s="6" t="s">
        <v>1367</v>
      </c>
    </row>
    <row r="122" ht="79.5" customHeight="1" spans="1:6" x14ac:dyDescent="0.25">
      <c r="A122" s="3" t="s">
        <v>35</v>
      </c>
      <c r="B122" s="3" t="s">
        <v>367</v>
      </c>
      <c r="C122" s="3" t="s">
        <v>368</v>
      </c>
      <c r="D122" s="3">
        <v>2</v>
      </c>
      <c r="E122" s="3" t="s">
        <v>1244</v>
      </c>
      <c r="F122" s="6" t="s">
        <v>1368</v>
      </c>
    </row>
    <row r="123" ht="94.5" customHeight="1" spans="1:6" x14ac:dyDescent="0.25">
      <c r="A123" s="3" t="s">
        <v>35</v>
      </c>
      <c r="B123" s="3" t="s">
        <v>367</v>
      </c>
      <c r="C123" s="3" t="s">
        <v>368</v>
      </c>
      <c r="D123" s="3">
        <v>3</v>
      </c>
      <c r="E123" s="3" t="s">
        <v>1246</v>
      </c>
      <c r="F123" s="6" t="s">
        <v>1369</v>
      </c>
    </row>
    <row r="124" ht="94.5" customHeight="1" spans="1:6" x14ac:dyDescent="0.25">
      <c r="A124" s="3" t="s">
        <v>35</v>
      </c>
      <c r="B124" s="3" t="s">
        <v>367</v>
      </c>
      <c r="C124" s="3" t="s">
        <v>368</v>
      </c>
      <c r="D124" s="3">
        <v>4</v>
      </c>
      <c r="E124" s="3" t="s">
        <v>1248</v>
      </c>
      <c r="F124" s="6" t="s">
        <v>1370</v>
      </c>
    </row>
    <row r="125" ht="94.5" customHeight="1" spans="1:6" x14ac:dyDescent="0.25">
      <c r="A125" s="3" t="s">
        <v>35</v>
      </c>
      <c r="B125" s="3" t="s">
        <v>367</v>
      </c>
      <c r="C125" s="3" t="s">
        <v>368</v>
      </c>
      <c r="D125" s="3">
        <v>5</v>
      </c>
      <c r="E125" s="3" t="s">
        <v>1250</v>
      </c>
      <c r="F125" s="6" t="s">
        <v>1371</v>
      </c>
    </row>
    <row r="126" ht="57.75" customHeight="1" spans="1:6" x14ac:dyDescent="0.25">
      <c r="A126" s="3" t="s">
        <v>35</v>
      </c>
      <c r="B126" s="3" t="s">
        <v>381</v>
      </c>
      <c r="C126" s="3" t="s">
        <v>382</v>
      </c>
      <c r="D126" s="3">
        <v>2</v>
      </c>
      <c r="E126" s="3" t="s">
        <v>1244</v>
      </c>
      <c r="F126" s="6" t="s">
        <v>1372</v>
      </c>
    </row>
    <row r="127" ht="57.75" customHeight="1" spans="1:6" x14ac:dyDescent="0.25">
      <c r="A127" s="3" t="s">
        <v>35</v>
      </c>
      <c r="B127" s="3" t="s">
        <v>381</v>
      </c>
      <c r="C127" s="3" t="s">
        <v>382</v>
      </c>
      <c r="D127" s="3">
        <v>3</v>
      </c>
      <c r="E127" s="3" t="s">
        <v>1246</v>
      </c>
      <c r="F127" s="6" t="s">
        <v>1373</v>
      </c>
    </row>
    <row r="128" ht="57.75" customHeight="1" spans="1:6" x14ac:dyDescent="0.25">
      <c r="A128" s="3" t="s">
        <v>35</v>
      </c>
      <c r="B128" s="3" t="s">
        <v>381</v>
      </c>
      <c r="C128" s="3" t="s">
        <v>382</v>
      </c>
      <c r="D128" s="3">
        <v>4</v>
      </c>
      <c r="E128" s="3" t="s">
        <v>1248</v>
      </c>
      <c r="F128" s="6" t="s">
        <v>1374</v>
      </c>
    </row>
    <row r="129" ht="57.75" customHeight="1" spans="1:6" x14ac:dyDescent="0.25">
      <c r="A129" s="3" t="s">
        <v>35</v>
      </c>
      <c r="B129" s="3" t="s">
        <v>381</v>
      </c>
      <c r="C129" s="3" t="s">
        <v>382</v>
      </c>
      <c r="D129" s="3">
        <v>5</v>
      </c>
      <c r="E129" s="3" t="s">
        <v>1250</v>
      </c>
      <c r="F129" s="6" t="s">
        <v>1375</v>
      </c>
    </row>
    <row r="130" ht="64.5" customHeight="1" spans="1:6" x14ac:dyDescent="0.25">
      <c r="A130" s="3" t="s">
        <v>35</v>
      </c>
      <c r="B130" s="3" t="s">
        <v>390</v>
      </c>
      <c r="C130" s="3" t="s">
        <v>391</v>
      </c>
      <c r="D130" s="3">
        <v>2</v>
      </c>
      <c r="E130" s="3" t="s">
        <v>1244</v>
      </c>
      <c r="F130" s="6" t="s">
        <v>1376</v>
      </c>
    </row>
    <row r="131" ht="64.5" customHeight="1" spans="1:6" x14ac:dyDescent="0.25">
      <c r="A131" s="3" t="s">
        <v>35</v>
      </c>
      <c r="B131" s="3" t="s">
        <v>390</v>
      </c>
      <c r="C131" s="3" t="s">
        <v>391</v>
      </c>
      <c r="D131" s="3">
        <v>3</v>
      </c>
      <c r="E131" s="3" t="s">
        <v>1246</v>
      </c>
      <c r="F131" s="6" t="s">
        <v>1377</v>
      </c>
    </row>
    <row r="132" ht="64.5" customHeight="1" spans="1:6" x14ac:dyDescent="0.25">
      <c r="A132" s="3" t="s">
        <v>35</v>
      </c>
      <c r="B132" s="3" t="s">
        <v>390</v>
      </c>
      <c r="C132" s="3" t="s">
        <v>391</v>
      </c>
      <c r="D132" s="3">
        <v>4</v>
      </c>
      <c r="E132" s="3" t="s">
        <v>1248</v>
      </c>
      <c r="F132" s="6" t="s">
        <v>1378</v>
      </c>
    </row>
    <row r="133" ht="64.5" customHeight="1" spans="1:6" x14ac:dyDescent="0.25">
      <c r="A133" s="3" t="s">
        <v>35</v>
      </c>
      <c r="B133" s="3" t="s">
        <v>390</v>
      </c>
      <c r="C133" s="3" t="s">
        <v>391</v>
      </c>
      <c r="D133" s="3">
        <v>5</v>
      </c>
      <c r="E133" s="3" t="s">
        <v>1250</v>
      </c>
      <c r="F133" s="6" t="s">
        <v>1379</v>
      </c>
    </row>
    <row r="134" ht="57.75" customHeight="1" spans="1:6" x14ac:dyDescent="0.25">
      <c r="A134" s="3" t="s">
        <v>35</v>
      </c>
      <c r="B134" s="3" t="s">
        <v>399</v>
      </c>
      <c r="C134" s="3" t="s">
        <v>400</v>
      </c>
      <c r="D134" s="3">
        <v>2</v>
      </c>
      <c r="E134" s="3" t="s">
        <v>1244</v>
      </c>
      <c r="F134" s="6" t="s">
        <v>1380</v>
      </c>
    </row>
    <row r="135" ht="64.5" customHeight="1" spans="1:6" x14ac:dyDescent="0.25">
      <c r="A135" s="3" t="s">
        <v>35</v>
      </c>
      <c r="B135" s="3" t="s">
        <v>399</v>
      </c>
      <c r="C135" s="3" t="s">
        <v>400</v>
      </c>
      <c r="D135" s="3">
        <v>3</v>
      </c>
      <c r="E135" s="3" t="s">
        <v>1246</v>
      </c>
      <c r="F135" s="6" t="s">
        <v>1381</v>
      </c>
    </row>
    <row r="136" ht="64.5" customHeight="1" spans="1:6" x14ac:dyDescent="0.25">
      <c r="A136" s="3" t="s">
        <v>35</v>
      </c>
      <c r="B136" s="3" t="s">
        <v>399</v>
      </c>
      <c r="C136" s="3" t="s">
        <v>400</v>
      </c>
      <c r="D136" s="3">
        <v>4</v>
      </c>
      <c r="E136" s="3" t="s">
        <v>1248</v>
      </c>
      <c r="F136" s="6" t="s">
        <v>1382</v>
      </c>
    </row>
    <row r="137" ht="64.5" customHeight="1" spans="1:6" x14ac:dyDescent="0.25">
      <c r="A137" s="3" t="s">
        <v>35</v>
      </c>
      <c r="B137" s="3" t="s">
        <v>399</v>
      </c>
      <c r="C137" s="3" t="s">
        <v>400</v>
      </c>
      <c r="D137" s="3">
        <v>5</v>
      </c>
      <c r="E137" s="3" t="s">
        <v>1250</v>
      </c>
      <c r="F137" s="6" t="s">
        <v>1383</v>
      </c>
    </row>
    <row r="138" ht="64.5" customHeight="1" spans="1:6" x14ac:dyDescent="0.25">
      <c r="A138" s="3" t="s">
        <v>35</v>
      </c>
      <c r="B138" s="3" t="s">
        <v>408</v>
      </c>
      <c r="C138" s="3" t="s">
        <v>409</v>
      </c>
      <c r="D138" s="3">
        <v>2</v>
      </c>
      <c r="E138" s="3" t="s">
        <v>1244</v>
      </c>
      <c r="F138" s="6" t="s">
        <v>1384</v>
      </c>
    </row>
    <row r="139" ht="64.5" customHeight="1" spans="1:6" x14ac:dyDescent="0.25">
      <c r="A139" s="3" t="s">
        <v>35</v>
      </c>
      <c r="B139" s="3" t="s">
        <v>408</v>
      </c>
      <c r="C139" s="3" t="s">
        <v>409</v>
      </c>
      <c r="D139" s="3">
        <v>3</v>
      </c>
      <c r="E139" s="3" t="s">
        <v>1246</v>
      </c>
      <c r="F139" s="6" t="s">
        <v>1385</v>
      </c>
    </row>
    <row r="140" ht="79.5" customHeight="1" spans="1:6" x14ac:dyDescent="0.25">
      <c r="A140" s="3" t="s">
        <v>35</v>
      </c>
      <c r="B140" s="3" t="s">
        <v>408</v>
      </c>
      <c r="C140" s="3" t="s">
        <v>409</v>
      </c>
      <c r="D140" s="3">
        <v>4</v>
      </c>
      <c r="E140" s="3" t="s">
        <v>1248</v>
      </c>
      <c r="F140" s="6" t="s">
        <v>1386</v>
      </c>
    </row>
    <row r="141" ht="79.5" customHeight="1" spans="1:6" x14ac:dyDescent="0.25">
      <c r="A141" s="3" t="s">
        <v>35</v>
      </c>
      <c r="B141" s="3" t="s">
        <v>408</v>
      </c>
      <c r="C141" s="3" t="s">
        <v>409</v>
      </c>
      <c r="D141" s="3">
        <v>5</v>
      </c>
      <c r="E141" s="3" t="s">
        <v>1250</v>
      </c>
      <c r="F141" s="6" t="s">
        <v>1387</v>
      </c>
    </row>
    <row r="142" ht="57.75" customHeight="1" spans="1:6" x14ac:dyDescent="0.25">
      <c r="A142" s="3" t="s">
        <v>35</v>
      </c>
      <c r="B142" s="3" t="s">
        <v>419</v>
      </c>
      <c r="C142" s="3" t="s">
        <v>420</v>
      </c>
      <c r="D142" s="3">
        <v>2</v>
      </c>
      <c r="E142" s="3" t="s">
        <v>1244</v>
      </c>
      <c r="F142" s="6" t="s">
        <v>1388</v>
      </c>
    </row>
    <row r="143" ht="64.5" customHeight="1" spans="1:6" x14ac:dyDescent="0.25">
      <c r="A143" s="3" t="s">
        <v>35</v>
      </c>
      <c r="B143" s="3" t="s">
        <v>419</v>
      </c>
      <c r="C143" s="3" t="s">
        <v>420</v>
      </c>
      <c r="D143" s="3">
        <v>3</v>
      </c>
      <c r="E143" s="3" t="s">
        <v>1246</v>
      </c>
      <c r="F143" s="6" t="s">
        <v>1389</v>
      </c>
    </row>
    <row r="144" ht="64.5" customHeight="1" spans="1:6" x14ac:dyDescent="0.25">
      <c r="A144" s="3" t="s">
        <v>35</v>
      </c>
      <c r="B144" s="3" t="s">
        <v>419</v>
      </c>
      <c r="C144" s="3" t="s">
        <v>420</v>
      </c>
      <c r="D144" s="3">
        <v>4</v>
      </c>
      <c r="E144" s="3" t="s">
        <v>1248</v>
      </c>
      <c r="F144" s="6" t="s">
        <v>1390</v>
      </c>
    </row>
    <row r="145" ht="64.5" customHeight="1" spans="1:6" x14ac:dyDescent="0.25">
      <c r="A145" s="3" t="s">
        <v>35</v>
      </c>
      <c r="B145" s="3" t="s">
        <v>419</v>
      </c>
      <c r="C145" s="3" t="s">
        <v>420</v>
      </c>
      <c r="D145" s="3">
        <v>5</v>
      </c>
      <c r="E145" s="3" t="s">
        <v>1250</v>
      </c>
      <c r="F145" s="6" t="s">
        <v>1391</v>
      </c>
    </row>
    <row r="146" ht="57.75" customHeight="1" spans="1:6" x14ac:dyDescent="0.25">
      <c r="A146" s="3" t="s">
        <v>35</v>
      </c>
      <c r="B146" s="3" t="s">
        <v>428</v>
      </c>
      <c r="C146" s="3" t="s">
        <v>429</v>
      </c>
      <c r="D146" s="3">
        <v>2</v>
      </c>
      <c r="E146" s="3" t="s">
        <v>1244</v>
      </c>
      <c r="F146" s="6" t="s">
        <v>1392</v>
      </c>
    </row>
    <row r="147" ht="57.75" customHeight="1" spans="1:6" x14ac:dyDescent="0.25">
      <c r="A147" s="3" t="s">
        <v>35</v>
      </c>
      <c r="B147" s="3" t="s">
        <v>428</v>
      </c>
      <c r="C147" s="3" t="s">
        <v>429</v>
      </c>
      <c r="D147" s="3">
        <v>3</v>
      </c>
      <c r="E147" s="3" t="s">
        <v>1246</v>
      </c>
      <c r="F147" s="6" t="s">
        <v>1393</v>
      </c>
    </row>
    <row r="148" ht="64.5" customHeight="1" spans="1:6" x14ac:dyDescent="0.25">
      <c r="A148" s="3" t="s">
        <v>35</v>
      </c>
      <c r="B148" s="3" t="s">
        <v>428</v>
      </c>
      <c r="C148" s="3" t="s">
        <v>429</v>
      </c>
      <c r="D148" s="3">
        <v>4</v>
      </c>
      <c r="E148" s="3" t="s">
        <v>1248</v>
      </c>
      <c r="F148" s="6" t="s">
        <v>1394</v>
      </c>
    </row>
    <row r="149" ht="57.75" customHeight="1" spans="1:6" x14ac:dyDescent="0.25">
      <c r="A149" s="3" t="s">
        <v>35</v>
      </c>
      <c r="B149" s="3" t="s">
        <v>428</v>
      </c>
      <c r="C149" s="3" t="s">
        <v>429</v>
      </c>
      <c r="D149" s="3">
        <v>5</v>
      </c>
      <c r="E149" s="3" t="s">
        <v>1250</v>
      </c>
      <c r="F149" s="6" t="s">
        <v>1395</v>
      </c>
    </row>
    <row r="150" ht="57.75" customHeight="1" spans="1:6" x14ac:dyDescent="0.25">
      <c r="A150" s="3" t="s">
        <v>35</v>
      </c>
      <c r="B150" s="3" t="s">
        <v>437</v>
      </c>
      <c r="C150" s="3" t="s">
        <v>438</v>
      </c>
      <c r="D150" s="3">
        <v>2</v>
      </c>
      <c r="E150" s="3" t="s">
        <v>1244</v>
      </c>
      <c r="F150" s="6" t="s">
        <v>1396</v>
      </c>
    </row>
    <row r="151" ht="57.75" customHeight="1" spans="1:6" x14ac:dyDescent="0.25">
      <c r="A151" s="3" t="s">
        <v>35</v>
      </c>
      <c r="B151" s="3" t="s">
        <v>437</v>
      </c>
      <c r="C151" s="3" t="s">
        <v>438</v>
      </c>
      <c r="D151" s="3">
        <v>3</v>
      </c>
      <c r="E151" s="3" t="s">
        <v>1246</v>
      </c>
      <c r="F151" s="6" t="s">
        <v>1397</v>
      </c>
    </row>
    <row r="152" ht="57.75" customHeight="1" spans="1:6" x14ac:dyDescent="0.25">
      <c r="A152" s="3" t="s">
        <v>35</v>
      </c>
      <c r="B152" s="3" t="s">
        <v>437</v>
      </c>
      <c r="C152" s="3" t="s">
        <v>438</v>
      </c>
      <c r="D152" s="3">
        <v>4</v>
      </c>
      <c r="E152" s="3" t="s">
        <v>1248</v>
      </c>
      <c r="F152" s="6" t="s">
        <v>1398</v>
      </c>
    </row>
    <row r="153" ht="57.75" customHeight="1" spans="1:6" x14ac:dyDescent="0.25">
      <c r="A153" s="3" t="s">
        <v>35</v>
      </c>
      <c r="B153" s="3" t="s">
        <v>437</v>
      </c>
      <c r="C153" s="3" t="s">
        <v>438</v>
      </c>
      <c r="D153" s="3">
        <v>5</v>
      </c>
      <c r="E153" s="3" t="s">
        <v>1250</v>
      </c>
      <c r="F153" s="6" t="s">
        <v>1399</v>
      </c>
    </row>
    <row r="154" ht="57.75" customHeight="1" spans="1:6" x14ac:dyDescent="0.25">
      <c r="A154" s="3" t="s">
        <v>35</v>
      </c>
      <c r="B154" s="3" t="s">
        <v>446</v>
      </c>
      <c r="C154" s="3" t="s">
        <v>447</v>
      </c>
      <c r="D154" s="3">
        <v>2</v>
      </c>
      <c r="E154" s="3" t="s">
        <v>1244</v>
      </c>
      <c r="F154" s="6" t="s">
        <v>1400</v>
      </c>
    </row>
    <row r="155" ht="57.75" customHeight="1" spans="1:6" x14ac:dyDescent="0.25">
      <c r="A155" s="3" t="s">
        <v>35</v>
      </c>
      <c r="B155" s="3" t="s">
        <v>446</v>
      </c>
      <c r="C155" s="3" t="s">
        <v>447</v>
      </c>
      <c r="D155" s="3">
        <v>3</v>
      </c>
      <c r="E155" s="3" t="s">
        <v>1246</v>
      </c>
      <c r="F155" s="6" t="s">
        <v>1401</v>
      </c>
    </row>
    <row r="156" ht="57.75" customHeight="1" spans="1:6" x14ac:dyDescent="0.25">
      <c r="A156" s="3" t="s">
        <v>35</v>
      </c>
      <c r="B156" s="3" t="s">
        <v>446</v>
      </c>
      <c r="C156" s="3" t="s">
        <v>447</v>
      </c>
      <c r="D156" s="3">
        <v>4</v>
      </c>
      <c r="E156" s="3" t="s">
        <v>1248</v>
      </c>
      <c r="F156" s="6" t="s">
        <v>1402</v>
      </c>
    </row>
    <row r="157" ht="57.75" customHeight="1" spans="1:6" x14ac:dyDescent="0.25">
      <c r="A157" s="3" t="s">
        <v>35</v>
      </c>
      <c r="B157" s="3" t="s">
        <v>446</v>
      </c>
      <c r="C157" s="3" t="s">
        <v>447</v>
      </c>
      <c r="D157" s="3">
        <v>5</v>
      </c>
      <c r="E157" s="3" t="s">
        <v>1250</v>
      </c>
      <c r="F157" s="6" t="s">
        <v>1403</v>
      </c>
    </row>
    <row r="158" ht="57.75" customHeight="1" spans="1:6" x14ac:dyDescent="0.25">
      <c r="A158" s="3" t="s">
        <v>35</v>
      </c>
      <c r="B158" s="3" t="s">
        <v>457</v>
      </c>
      <c r="C158" s="3" t="s">
        <v>458</v>
      </c>
      <c r="D158" s="3">
        <v>2</v>
      </c>
      <c r="E158" s="3" t="s">
        <v>1244</v>
      </c>
      <c r="F158" s="6" t="s">
        <v>1404</v>
      </c>
    </row>
    <row r="159" ht="57.75" customHeight="1" spans="1:6" x14ac:dyDescent="0.25">
      <c r="A159" s="3" t="s">
        <v>35</v>
      </c>
      <c r="B159" s="3" t="s">
        <v>457</v>
      </c>
      <c r="C159" s="3" t="s">
        <v>458</v>
      </c>
      <c r="D159" s="3">
        <v>3</v>
      </c>
      <c r="E159" s="3" t="s">
        <v>1246</v>
      </c>
      <c r="F159" s="6" t="s">
        <v>1405</v>
      </c>
    </row>
    <row r="160" ht="64.5" customHeight="1" spans="1:6" x14ac:dyDescent="0.25">
      <c r="A160" s="3" t="s">
        <v>35</v>
      </c>
      <c r="B160" s="3" t="s">
        <v>457</v>
      </c>
      <c r="C160" s="3" t="s">
        <v>458</v>
      </c>
      <c r="D160" s="3">
        <v>4</v>
      </c>
      <c r="E160" s="3" t="s">
        <v>1248</v>
      </c>
      <c r="F160" s="6" t="s">
        <v>1406</v>
      </c>
    </row>
    <row r="161" ht="64.5" customHeight="1" spans="1:6" x14ac:dyDescent="0.25">
      <c r="A161" s="3" t="s">
        <v>35</v>
      </c>
      <c r="B161" s="3" t="s">
        <v>457</v>
      </c>
      <c r="C161" s="3" t="s">
        <v>458</v>
      </c>
      <c r="D161" s="3">
        <v>5</v>
      </c>
      <c r="E161" s="3" t="s">
        <v>1250</v>
      </c>
      <c r="F161" s="6" t="s">
        <v>1407</v>
      </c>
    </row>
    <row r="162" ht="57.75" customHeight="1" spans="1:6" x14ac:dyDescent="0.25">
      <c r="A162" s="3" t="s">
        <v>35</v>
      </c>
      <c r="B162" s="3" t="s">
        <v>466</v>
      </c>
      <c r="C162" s="3" t="s">
        <v>467</v>
      </c>
      <c r="D162" s="3">
        <v>2</v>
      </c>
      <c r="E162" s="3" t="s">
        <v>1244</v>
      </c>
      <c r="F162" s="6" t="s">
        <v>1408</v>
      </c>
    </row>
    <row r="163" ht="57.75" customHeight="1" spans="1:6" x14ac:dyDescent="0.25">
      <c r="A163" s="3" t="s">
        <v>35</v>
      </c>
      <c r="B163" s="3" t="s">
        <v>466</v>
      </c>
      <c r="C163" s="3" t="s">
        <v>467</v>
      </c>
      <c r="D163" s="3">
        <v>3</v>
      </c>
      <c r="E163" s="3" t="s">
        <v>1246</v>
      </c>
      <c r="F163" s="6" t="s">
        <v>1409</v>
      </c>
    </row>
    <row r="164" ht="57.75" customHeight="1" spans="1:6" x14ac:dyDescent="0.25">
      <c r="A164" s="3" t="s">
        <v>35</v>
      </c>
      <c r="B164" s="3" t="s">
        <v>466</v>
      </c>
      <c r="C164" s="3" t="s">
        <v>467</v>
      </c>
      <c r="D164" s="3">
        <v>4</v>
      </c>
      <c r="E164" s="3" t="s">
        <v>1248</v>
      </c>
      <c r="F164" s="6" t="s">
        <v>1410</v>
      </c>
    </row>
    <row r="165" ht="57.75" customHeight="1" spans="1:6" x14ac:dyDescent="0.25">
      <c r="A165" s="3" t="s">
        <v>35</v>
      </c>
      <c r="B165" s="3" t="s">
        <v>466</v>
      </c>
      <c r="C165" s="3" t="s">
        <v>467</v>
      </c>
      <c r="D165" s="3">
        <v>5</v>
      </c>
      <c r="E165" s="3" t="s">
        <v>1250</v>
      </c>
      <c r="F165" s="6" t="s">
        <v>1411</v>
      </c>
    </row>
    <row r="166" ht="79.5" customHeight="1" spans="1:6" x14ac:dyDescent="0.25">
      <c r="A166" s="3" t="s">
        <v>35</v>
      </c>
      <c r="B166" s="3" t="s">
        <v>475</v>
      </c>
      <c r="C166" s="3" t="s">
        <v>476</v>
      </c>
      <c r="D166" s="3">
        <v>2</v>
      </c>
      <c r="E166" s="3" t="s">
        <v>1244</v>
      </c>
      <c r="F166" s="6" t="s">
        <v>1412</v>
      </c>
    </row>
    <row r="167" ht="94.5" customHeight="1" spans="1:6" x14ac:dyDescent="0.25">
      <c r="A167" s="3" t="s">
        <v>35</v>
      </c>
      <c r="B167" s="3" t="s">
        <v>475</v>
      </c>
      <c r="C167" s="3" t="s">
        <v>476</v>
      </c>
      <c r="D167" s="3">
        <v>3</v>
      </c>
      <c r="E167" s="3" t="s">
        <v>1246</v>
      </c>
      <c r="F167" s="6" t="s">
        <v>1413</v>
      </c>
    </row>
    <row r="168" ht="94.5" customHeight="1" spans="1:6" x14ac:dyDescent="0.25">
      <c r="A168" s="3" t="s">
        <v>35</v>
      </c>
      <c r="B168" s="3" t="s">
        <v>475</v>
      </c>
      <c r="C168" s="3" t="s">
        <v>476</v>
      </c>
      <c r="D168" s="3">
        <v>4</v>
      </c>
      <c r="E168" s="3" t="s">
        <v>1248</v>
      </c>
      <c r="F168" s="6" t="s">
        <v>1414</v>
      </c>
    </row>
    <row r="169" ht="109.5" customHeight="1" spans="1:6" x14ac:dyDescent="0.25">
      <c r="A169" s="3" t="s">
        <v>35</v>
      </c>
      <c r="B169" s="3" t="s">
        <v>475</v>
      </c>
      <c r="C169" s="3" t="s">
        <v>476</v>
      </c>
      <c r="D169" s="3">
        <v>5</v>
      </c>
      <c r="E169" s="3" t="s">
        <v>1250</v>
      </c>
      <c r="F169" s="6" t="s">
        <v>1415</v>
      </c>
    </row>
    <row r="170" ht="57.75" customHeight="1" spans="1:6" x14ac:dyDescent="0.25">
      <c r="A170" s="3" t="s">
        <v>35</v>
      </c>
      <c r="B170" s="3" t="s">
        <v>484</v>
      </c>
      <c r="C170" s="3" t="s">
        <v>485</v>
      </c>
      <c r="D170" s="3">
        <v>2</v>
      </c>
      <c r="E170" s="3" t="s">
        <v>1244</v>
      </c>
      <c r="F170" s="6" t="s">
        <v>1416</v>
      </c>
    </row>
    <row r="171" ht="57.75" customHeight="1" spans="1:6" x14ac:dyDescent="0.25">
      <c r="A171" s="3" t="s">
        <v>35</v>
      </c>
      <c r="B171" s="3" t="s">
        <v>484</v>
      </c>
      <c r="C171" s="3" t="s">
        <v>485</v>
      </c>
      <c r="D171" s="3">
        <v>3</v>
      </c>
      <c r="E171" s="3" t="s">
        <v>1246</v>
      </c>
      <c r="F171" s="6" t="s">
        <v>1417</v>
      </c>
    </row>
    <row r="172" ht="57.75" customHeight="1" spans="1:6" x14ac:dyDescent="0.25">
      <c r="A172" s="3" t="s">
        <v>35</v>
      </c>
      <c r="B172" s="3" t="s">
        <v>484</v>
      </c>
      <c r="C172" s="3" t="s">
        <v>485</v>
      </c>
      <c r="D172" s="3">
        <v>4</v>
      </c>
      <c r="E172" s="3" t="s">
        <v>1248</v>
      </c>
      <c r="F172" s="6" t="s">
        <v>1418</v>
      </c>
    </row>
    <row r="173" ht="57.75" customHeight="1" spans="1:6" x14ac:dyDescent="0.25">
      <c r="A173" s="3" t="s">
        <v>35</v>
      </c>
      <c r="B173" s="3" t="s">
        <v>484</v>
      </c>
      <c r="C173" s="3" t="s">
        <v>485</v>
      </c>
      <c r="D173" s="3">
        <v>5</v>
      </c>
      <c r="E173" s="3" t="s">
        <v>1250</v>
      </c>
      <c r="F173" s="6" t="s">
        <v>1419</v>
      </c>
    </row>
    <row r="174" ht="79.5" customHeight="1" spans="1:6" x14ac:dyDescent="0.25">
      <c r="A174" s="3" t="s">
        <v>35</v>
      </c>
      <c r="B174" s="3" t="s">
        <v>493</v>
      </c>
      <c r="C174" s="3" t="s">
        <v>494</v>
      </c>
      <c r="D174" s="3">
        <v>2</v>
      </c>
      <c r="E174" s="3" t="s">
        <v>1244</v>
      </c>
      <c r="F174" s="6" t="s">
        <v>1420</v>
      </c>
    </row>
    <row r="175" ht="79.5" customHeight="1" spans="1:6" x14ac:dyDescent="0.25">
      <c r="A175" s="3" t="s">
        <v>35</v>
      </c>
      <c r="B175" s="3" t="s">
        <v>493</v>
      </c>
      <c r="C175" s="3" t="s">
        <v>494</v>
      </c>
      <c r="D175" s="3">
        <v>3</v>
      </c>
      <c r="E175" s="3" t="s">
        <v>1246</v>
      </c>
      <c r="F175" s="6" t="s">
        <v>1421</v>
      </c>
    </row>
    <row r="176" ht="79.5" customHeight="1" spans="1:6" x14ac:dyDescent="0.25">
      <c r="A176" s="3" t="s">
        <v>35</v>
      </c>
      <c r="B176" s="3" t="s">
        <v>493</v>
      </c>
      <c r="C176" s="3" t="s">
        <v>494</v>
      </c>
      <c r="D176" s="3">
        <v>4</v>
      </c>
      <c r="E176" s="3" t="s">
        <v>1248</v>
      </c>
      <c r="F176" s="6" t="s">
        <v>1422</v>
      </c>
    </row>
    <row r="177" ht="79.5" customHeight="1" spans="1:6" x14ac:dyDescent="0.25">
      <c r="A177" s="3" t="s">
        <v>35</v>
      </c>
      <c r="B177" s="3" t="s">
        <v>493</v>
      </c>
      <c r="C177" s="3" t="s">
        <v>494</v>
      </c>
      <c r="D177" s="3">
        <v>5</v>
      </c>
      <c r="E177" s="3" t="s">
        <v>1250</v>
      </c>
      <c r="F177" s="6" t="s">
        <v>1423</v>
      </c>
    </row>
    <row r="178" ht="57.75" customHeight="1" spans="1:6" x14ac:dyDescent="0.25">
      <c r="A178" s="3" t="s">
        <v>35</v>
      </c>
      <c r="B178" s="3" t="s">
        <v>502</v>
      </c>
      <c r="C178" s="3" t="s">
        <v>503</v>
      </c>
      <c r="D178" s="3">
        <v>2</v>
      </c>
      <c r="E178" s="3" t="s">
        <v>1244</v>
      </c>
      <c r="F178" s="6" t="s">
        <v>1424</v>
      </c>
    </row>
    <row r="179" ht="64.5" customHeight="1" spans="1:6" x14ac:dyDescent="0.25">
      <c r="A179" s="3" t="s">
        <v>35</v>
      </c>
      <c r="B179" s="3" t="s">
        <v>502</v>
      </c>
      <c r="C179" s="3" t="s">
        <v>503</v>
      </c>
      <c r="D179" s="3">
        <v>3</v>
      </c>
      <c r="E179" s="3" t="s">
        <v>1246</v>
      </c>
      <c r="F179" s="6" t="s">
        <v>1425</v>
      </c>
    </row>
    <row r="180" ht="79.5" customHeight="1" spans="1:6" x14ac:dyDescent="0.25">
      <c r="A180" s="3" t="s">
        <v>35</v>
      </c>
      <c r="B180" s="3" t="s">
        <v>502</v>
      </c>
      <c r="C180" s="3" t="s">
        <v>503</v>
      </c>
      <c r="D180" s="3">
        <v>4</v>
      </c>
      <c r="E180" s="3" t="s">
        <v>1248</v>
      </c>
      <c r="F180" s="6" t="s">
        <v>1426</v>
      </c>
    </row>
    <row r="181" ht="64.5" customHeight="1" spans="1:6" x14ac:dyDescent="0.25">
      <c r="A181" s="3" t="s">
        <v>35</v>
      </c>
      <c r="B181" s="3" t="s">
        <v>502</v>
      </c>
      <c r="C181" s="3" t="s">
        <v>503</v>
      </c>
      <c r="D181" s="3">
        <v>5</v>
      </c>
      <c r="E181" s="3" t="s">
        <v>1250</v>
      </c>
      <c r="F181" s="6" t="s">
        <v>1427</v>
      </c>
    </row>
    <row r="182" ht="64.5" customHeight="1" spans="1:6" x14ac:dyDescent="0.25">
      <c r="A182" s="3" t="s">
        <v>35</v>
      </c>
      <c r="B182" s="3" t="s">
        <v>515</v>
      </c>
      <c r="C182" s="3" t="s">
        <v>516</v>
      </c>
      <c r="D182" s="3">
        <v>2</v>
      </c>
      <c r="E182" s="3" t="s">
        <v>1244</v>
      </c>
      <c r="F182" s="6" t="s">
        <v>1428</v>
      </c>
    </row>
    <row r="183" ht="79.5" customHeight="1" spans="1:6" x14ac:dyDescent="0.25">
      <c r="A183" s="3" t="s">
        <v>35</v>
      </c>
      <c r="B183" s="3" t="s">
        <v>515</v>
      </c>
      <c r="C183" s="3" t="s">
        <v>516</v>
      </c>
      <c r="D183" s="3">
        <v>3</v>
      </c>
      <c r="E183" s="3" t="s">
        <v>1246</v>
      </c>
      <c r="F183" s="6" t="s">
        <v>1429</v>
      </c>
    </row>
    <row r="184" ht="64.5" customHeight="1" spans="1:6" x14ac:dyDescent="0.25">
      <c r="A184" s="3" t="s">
        <v>35</v>
      </c>
      <c r="B184" s="3" t="s">
        <v>515</v>
      </c>
      <c r="C184" s="3" t="s">
        <v>516</v>
      </c>
      <c r="D184" s="3">
        <v>4</v>
      </c>
      <c r="E184" s="3" t="s">
        <v>1248</v>
      </c>
      <c r="F184" s="6" t="s">
        <v>1430</v>
      </c>
    </row>
    <row r="185" ht="79.5" customHeight="1" spans="1:6" x14ac:dyDescent="0.25">
      <c r="A185" s="3" t="s">
        <v>35</v>
      </c>
      <c r="B185" s="3" t="s">
        <v>515</v>
      </c>
      <c r="C185" s="3" t="s">
        <v>516</v>
      </c>
      <c r="D185" s="3">
        <v>5</v>
      </c>
      <c r="E185" s="3" t="s">
        <v>1250</v>
      </c>
      <c r="F185" s="6" t="s">
        <v>1431</v>
      </c>
    </row>
    <row r="186" ht="57.75" customHeight="1" spans="1:6" x14ac:dyDescent="0.25">
      <c r="A186" s="3" t="s">
        <v>35</v>
      </c>
      <c r="B186" s="3" t="s">
        <v>524</v>
      </c>
      <c r="C186" s="3" t="s">
        <v>525</v>
      </c>
      <c r="D186" s="3">
        <v>2</v>
      </c>
      <c r="E186" s="3" t="s">
        <v>1244</v>
      </c>
      <c r="F186" s="6" t="s">
        <v>1432</v>
      </c>
    </row>
    <row r="187" ht="57.75" customHeight="1" spans="1:6" x14ac:dyDescent="0.25">
      <c r="A187" s="3" t="s">
        <v>35</v>
      </c>
      <c r="B187" s="3" t="s">
        <v>524</v>
      </c>
      <c r="C187" s="3" t="s">
        <v>525</v>
      </c>
      <c r="D187" s="3">
        <v>3</v>
      </c>
      <c r="E187" s="3" t="s">
        <v>1246</v>
      </c>
      <c r="F187" s="6" t="s">
        <v>1433</v>
      </c>
    </row>
    <row r="188" ht="57.75" customHeight="1" spans="1:6" x14ac:dyDescent="0.25">
      <c r="A188" s="3" t="s">
        <v>35</v>
      </c>
      <c r="B188" s="3" t="s">
        <v>524</v>
      </c>
      <c r="C188" s="3" t="s">
        <v>525</v>
      </c>
      <c r="D188" s="3">
        <v>4</v>
      </c>
      <c r="E188" s="3" t="s">
        <v>1248</v>
      </c>
      <c r="F188" s="6" t="s">
        <v>1434</v>
      </c>
    </row>
    <row r="189" ht="57.75" customHeight="1" spans="1:6" x14ac:dyDescent="0.25">
      <c r="A189" s="3" t="s">
        <v>35</v>
      </c>
      <c r="B189" s="3" t="s">
        <v>524</v>
      </c>
      <c r="C189" s="3" t="s">
        <v>525</v>
      </c>
      <c r="D189" s="3">
        <v>5</v>
      </c>
      <c r="E189" s="3" t="s">
        <v>1250</v>
      </c>
      <c r="F189" s="6" t="s">
        <v>1435</v>
      </c>
    </row>
    <row r="190" ht="57.75" customHeight="1" spans="1:6" x14ac:dyDescent="0.25">
      <c r="A190" s="3" t="s">
        <v>35</v>
      </c>
      <c r="B190" s="3" t="s">
        <v>533</v>
      </c>
      <c r="C190" s="3" t="s">
        <v>534</v>
      </c>
      <c r="D190" s="3">
        <v>2</v>
      </c>
      <c r="E190" s="3" t="s">
        <v>1244</v>
      </c>
      <c r="F190" s="6" t="s">
        <v>1436</v>
      </c>
    </row>
    <row r="191" ht="57.75" customHeight="1" spans="1:6" x14ac:dyDescent="0.25">
      <c r="A191" s="3" t="s">
        <v>35</v>
      </c>
      <c r="B191" s="3" t="s">
        <v>533</v>
      </c>
      <c r="C191" s="3" t="s">
        <v>534</v>
      </c>
      <c r="D191" s="3">
        <v>3</v>
      </c>
      <c r="E191" s="3" t="s">
        <v>1246</v>
      </c>
      <c r="F191" s="6" t="s">
        <v>1437</v>
      </c>
    </row>
    <row r="192" ht="57.75" customHeight="1" spans="1:6" x14ac:dyDescent="0.25">
      <c r="A192" s="3" t="s">
        <v>35</v>
      </c>
      <c r="B192" s="3" t="s">
        <v>533</v>
      </c>
      <c r="C192" s="3" t="s">
        <v>534</v>
      </c>
      <c r="D192" s="3">
        <v>4</v>
      </c>
      <c r="E192" s="3" t="s">
        <v>1248</v>
      </c>
      <c r="F192" s="6" t="s">
        <v>1438</v>
      </c>
    </row>
    <row r="193" ht="57.75" customHeight="1" spans="1:6" x14ac:dyDescent="0.25">
      <c r="A193" s="3" t="s">
        <v>35</v>
      </c>
      <c r="B193" s="3" t="s">
        <v>533</v>
      </c>
      <c r="C193" s="3" t="s">
        <v>534</v>
      </c>
      <c r="D193" s="3">
        <v>5</v>
      </c>
      <c r="E193" s="3" t="s">
        <v>1250</v>
      </c>
      <c r="F193" s="6" t="s">
        <v>1439</v>
      </c>
    </row>
    <row r="194" ht="57.75" customHeight="1" spans="1:6" x14ac:dyDescent="0.25">
      <c r="A194" s="3" t="s">
        <v>35</v>
      </c>
      <c r="B194" s="3" t="s">
        <v>542</v>
      </c>
      <c r="C194" s="3" t="s">
        <v>543</v>
      </c>
      <c r="D194" s="3">
        <v>2</v>
      </c>
      <c r="E194" s="3" t="s">
        <v>1244</v>
      </c>
      <c r="F194" s="6" t="s">
        <v>1440</v>
      </c>
    </row>
    <row r="195" ht="64.5" customHeight="1" spans="1:6" x14ac:dyDescent="0.25">
      <c r="A195" s="3" t="s">
        <v>35</v>
      </c>
      <c r="B195" s="3" t="s">
        <v>542</v>
      </c>
      <c r="C195" s="3" t="s">
        <v>543</v>
      </c>
      <c r="D195" s="3">
        <v>3</v>
      </c>
      <c r="E195" s="3" t="s">
        <v>1246</v>
      </c>
      <c r="F195" s="6" t="s">
        <v>1441</v>
      </c>
    </row>
    <row r="196" ht="64.5" customHeight="1" spans="1:6" x14ac:dyDescent="0.25">
      <c r="A196" s="3" t="s">
        <v>35</v>
      </c>
      <c r="B196" s="3" t="s">
        <v>542</v>
      </c>
      <c r="C196" s="3" t="s">
        <v>543</v>
      </c>
      <c r="D196" s="3">
        <v>4</v>
      </c>
      <c r="E196" s="3" t="s">
        <v>1248</v>
      </c>
      <c r="F196" s="6" t="s">
        <v>1442</v>
      </c>
    </row>
    <row r="197" ht="79.5" customHeight="1" spans="1:6" x14ac:dyDescent="0.25">
      <c r="A197" s="3" t="s">
        <v>35</v>
      </c>
      <c r="B197" s="3" t="s">
        <v>542</v>
      </c>
      <c r="C197" s="3" t="s">
        <v>543</v>
      </c>
      <c r="D197" s="3">
        <v>5</v>
      </c>
      <c r="E197" s="3" t="s">
        <v>1250</v>
      </c>
      <c r="F197" s="6" t="s">
        <v>1443</v>
      </c>
    </row>
    <row r="198" ht="57.75" customHeight="1" spans="1:6" x14ac:dyDescent="0.25">
      <c r="A198" s="3" t="s">
        <v>35</v>
      </c>
      <c r="B198" s="3" t="s">
        <v>551</v>
      </c>
      <c r="C198" s="3" t="s">
        <v>552</v>
      </c>
      <c r="D198" s="3">
        <v>2</v>
      </c>
      <c r="E198" s="3" t="s">
        <v>1244</v>
      </c>
      <c r="F198" s="6" t="s">
        <v>1444</v>
      </c>
    </row>
    <row r="199" ht="57.75" customHeight="1" spans="1:6" x14ac:dyDescent="0.25">
      <c r="A199" s="3" t="s">
        <v>35</v>
      </c>
      <c r="B199" s="3" t="s">
        <v>551</v>
      </c>
      <c r="C199" s="3" t="s">
        <v>552</v>
      </c>
      <c r="D199" s="3">
        <v>3</v>
      </c>
      <c r="E199" s="3" t="s">
        <v>1246</v>
      </c>
      <c r="F199" s="6" t="s">
        <v>1445</v>
      </c>
    </row>
    <row r="200" ht="57.75" customHeight="1" spans="1:6" x14ac:dyDescent="0.25">
      <c r="A200" s="3" t="s">
        <v>35</v>
      </c>
      <c r="B200" s="3" t="s">
        <v>551</v>
      </c>
      <c r="C200" s="3" t="s">
        <v>552</v>
      </c>
      <c r="D200" s="3">
        <v>4</v>
      </c>
      <c r="E200" s="3" t="s">
        <v>1248</v>
      </c>
      <c r="F200" s="6" t="s">
        <v>1446</v>
      </c>
    </row>
    <row r="201" ht="57.75" customHeight="1" spans="1:6" x14ac:dyDescent="0.25">
      <c r="A201" s="3" t="s">
        <v>35</v>
      </c>
      <c r="B201" s="3" t="s">
        <v>551</v>
      </c>
      <c r="C201" s="3" t="s">
        <v>552</v>
      </c>
      <c r="D201" s="3">
        <v>5</v>
      </c>
      <c r="E201" s="3" t="s">
        <v>1250</v>
      </c>
      <c r="F201" s="6" t="s">
        <v>1447</v>
      </c>
    </row>
    <row r="202" ht="57.75" customHeight="1" spans="1:6" x14ac:dyDescent="0.25">
      <c r="A202" s="3" t="s">
        <v>35</v>
      </c>
      <c r="B202" s="3" t="s">
        <v>560</v>
      </c>
      <c r="C202" s="3" t="s">
        <v>561</v>
      </c>
      <c r="D202" s="3">
        <v>2</v>
      </c>
      <c r="E202" s="3" t="s">
        <v>1244</v>
      </c>
      <c r="F202" s="6" t="s">
        <v>1448</v>
      </c>
    </row>
    <row r="203" ht="57.75" customHeight="1" spans="1:6" x14ac:dyDescent="0.25">
      <c r="A203" s="3" t="s">
        <v>35</v>
      </c>
      <c r="B203" s="3" t="s">
        <v>560</v>
      </c>
      <c r="C203" s="3" t="s">
        <v>561</v>
      </c>
      <c r="D203" s="3">
        <v>3</v>
      </c>
      <c r="E203" s="3" t="s">
        <v>1246</v>
      </c>
      <c r="F203" s="6" t="s">
        <v>1449</v>
      </c>
    </row>
    <row r="204" ht="57.75" customHeight="1" spans="1:6" x14ac:dyDescent="0.25">
      <c r="A204" s="3" t="s">
        <v>35</v>
      </c>
      <c r="B204" s="3" t="s">
        <v>560</v>
      </c>
      <c r="C204" s="3" t="s">
        <v>561</v>
      </c>
      <c r="D204" s="3">
        <v>4</v>
      </c>
      <c r="E204" s="3" t="s">
        <v>1248</v>
      </c>
      <c r="F204" s="6" t="s">
        <v>1450</v>
      </c>
    </row>
    <row r="205" ht="57.75" customHeight="1" spans="1:6" x14ac:dyDescent="0.25">
      <c r="A205" s="3" t="s">
        <v>35</v>
      </c>
      <c r="B205" s="3" t="s">
        <v>560</v>
      </c>
      <c r="C205" s="3" t="s">
        <v>561</v>
      </c>
      <c r="D205" s="3">
        <v>5</v>
      </c>
      <c r="E205" s="3" t="s">
        <v>1250</v>
      </c>
      <c r="F205" s="6" t="s">
        <v>1451</v>
      </c>
    </row>
    <row r="206" ht="57.75" customHeight="1" spans="1:6" x14ac:dyDescent="0.25">
      <c r="A206" s="3" t="s">
        <v>35</v>
      </c>
      <c r="B206" s="3" t="s">
        <v>569</v>
      </c>
      <c r="C206" s="3" t="s">
        <v>570</v>
      </c>
      <c r="D206" s="3">
        <v>2</v>
      </c>
      <c r="E206" s="3" t="s">
        <v>1244</v>
      </c>
      <c r="F206" s="6" t="s">
        <v>1452</v>
      </c>
    </row>
    <row r="207" ht="57.75" customHeight="1" spans="1:6" x14ac:dyDescent="0.25">
      <c r="A207" s="3" t="s">
        <v>35</v>
      </c>
      <c r="B207" s="3" t="s">
        <v>569</v>
      </c>
      <c r="C207" s="3" t="s">
        <v>570</v>
      </c>
      <c r="D207" s="3">
        <v>3</v>
      </c>
      <c r="E207" s="3" t="s">
        <v>1246</v>
      </c>
      <c r="F207" s="6" t="s">
        <v>1453</v>
      </c>
    </row>
    <row r="208" ht="57.75" customHeight="1" spans="1:6" x14ac:dyDescent="0.25">
      <c r="A208" s="3" t="s">
        <v>35</v>
      </c>
      <c r="B208" s="3" t="s">
        <v>569</v>
      </c>
      <c r="C208" s="3" t="s">
        <v>570</v>
      </c>
      <c r="D208" s="3">
        <v>4</v>
      </c>
      <c r="E208" s="3" t="s">
        <v>1248</v>
      </c>
      <c r="F208" s="6" t="s">
        <v>1434</v>
      </c>
    </row>
    <row r="209" ht="57.75" customHeight="1" spans="1:6" x14ac:dyDescent="0.25">
      <c r="A209" s="3" t="s">
        <v>35</v>
      </c>
      <c r="B209" s="3" t="s">
        <v>569</v>
      </c>
      <c r="C209" s="3" t="s">
        <v>570</v>
      </c>
      <c r="D209" s="3">
        <v>5</v>
      </c>
      <c r="E209" s="3" t="s">
        <v>1250</v>
      </c>
      <c r="F209" s="6" t="s">
        <v>1454</v>
      </c>
    </row>
    <row r="210" ht="57.75" customHeight="1" spans="1:6" x14ac:dyDescent="0.25">
      <c r="A210" s="3" t="s">
        <v>35</v>
      </c>
      <c r="B210" s="3" t="s">
        <v>578</v>
      </c>
      <c r="C210" s="3" t="s">
        <v>579</v>
      </c>
      <c r="D210" s="3">
        <v>2</v>
      </c>
      <c r="E210" s="3" t="s">
        <v>1244</v>
      </c>
      <c r="F210" s="6" t="s">
        <v>1455</v>
      </c>
    </row>
    <row r="211" ht="57.75" customHeight="1" spans="1:6" x14ac:dyDescent="0.25">
      <c r="A211" s="3" t="s">
        <v>35</v>
      </c>
      <c r="B211" s="3" t="s">
        <v>578</v>
      </c>
      <c r="C211" s="3" t="s">
        <v>579</v>
      </c>
      <c r="D211" s="3">
        <v>3</v>
      </c>
      <c r="E211" s="3" t="s">
        <v>1246</v>
      </c>
      <c r="F211" s="6" t="s">
        <v>1453</v>
      </c>
    </row>
    <row r="212" ht="57.75" customHeight="1" spans="1:6" x14ac:dyDescent="0.25">
      <c r="A212" s="3" t="s">
        <v>35</v>
      </c>
      <c r="B212" s="3" t="s">
        <v>578</v>
      </c>
      <c r="C212" s="3" t="s">
        <v>579</v>
      </c>
      <c r="D212" s="3">
        <v>4</v>
      </c>
      <c r="E212" s="3" t="s">
        <v>1248</v>
      </c>
      <c r="F212" s="6" t="s">
        <v>1434</v>
      </c>
    </row>
    <row r="213" ht="57.75" customHeight="1" spans="1:6" x14ac:dyDescent="0.25">
      <c r="A213" s="3" t="s">
        <v>35</v>
      </c>
      <c r="B213" s="3" t="s">
        <v>578</v>
      </c>
      <c r="C213" s="3" t="s">
        <v>579</v>
      </c>
      <c r="D213" s="3">
        <v>5</v>
      </c>
      <c r="E213" s="3" t="s">
        <v>1250</v>
      </c>
      <c r="F213" s="6" t="s">
        <v>1456</v>
      </c>
    </row>
    <row r="214" ht="57.75" customHeight="1" spans="1:6" x14ac:dyDescent="0.25">
      <c r="A214" s="3" t="s">
        <v>35</v>
      </c>
      <c r="B214" s="3" t="s">
        <v>589</v>
      </c>
      <c r="C214" s="3" t="s">
        <v>590</v>
      </c>
      <c r="D214" s="3">
        <v>2</v>
      </c>
      <c r="E214" s="3" t="s">
        <v>1244</v>
      </c>
      <c r="F214" s="6" t="s">
        <v>1457</v>
      </c>
    </row>
    <row r="215" ht="57.75" customHeight="1" spans="1:6" x14ac:dyDescent="0.25">
      <c r="A215" s="3" t="s">
        <v>35</v>
      </c>
      <c r="B215" s="3" t="s">
        <v>589</v>
      </c>
      <c r="C215" s="3" t="s">
        <v>590</v>
      </c>
      <c r="D215" s="3">
        <v>3</v>
      </c>
      <c r="E215" s="3" t="s">
        <v>1246</v>
      </c>
      <c r="F215" s="6" t="s">
        <v>1458</v>
      </c>
    </row>
    <row r="216" ht="57.75" customHeight="1" spans="1:6" x14ac:dyDescent="0.25">
      <c r="A216" s="3" t="s">
        <v>35</v>
      </c>
      <c r="B216" s="3" t="s">
        <v>589</v>
      </c>
      <c r="C216" s="3" t="s">
        <v>590</v>
      </c>
      <c r="D216" s="3">
        <v>4</v>
      </c>
      <c r="E216" s="3" t="s">
        <v>1248</v>
      </c>
      <c r="F216" s="6" t="s">
        <v>1459</v>
      </c>
    </row>
    <row r="217" ht="64.5" customHeight="1" spans="1:6" x14ac:dyDescent="0.25">
      <c r="A217" s="3" t="s">
        <v>35</v>
      </c>
      <c r="B217" s="3" t="s">
        <v>589</v>
      </c>
      <c r="C217" s="3" t="s">
        <v>590</v>
      </c>
      <c r="D217" s="3">
        <v>5</v>
      </c>
      <c r="E217" s="3" t="s">
        <v>1250</v>
      </c>
      <c r="F217" s="6" t="s">
        <v>1460</v>
      </c>
    </row>
    <row r="218" ht="57.75" customHeight="1" spans="1:6" x14ac:dyDescent="0.25">
      <c r="A218" s="3" t="s">
        <v>35</v>
      </c>
      <c r="B218" s="3" t="s">
        <v>603</v>
      </c>
      <c r="C218" s="3" t="s">
        <v>604</v>
      </c>
      <c r="D218" s="3">
        <v>2</v>
      </c>
      <c r="E218" s="3" t="s">
        <v>1244</v>
      </c>
      <c r="F218" s="6" t="s">
        <v>1461</v>
      </c>
    </row>
    <row r="219" ht="57.75" customHeight="1" spans="1:6" x14ac:dyDescent="0.25">
      <c r="A219" s="3" t="s">
        <v>35</v>
      </c>
      <c r="B219" s="3" t="s">
        <v>603</v>
      </c>
      <c r="C219" s="3" t="s">
        <v>604</v>
      </c>
      <c r="D219" s="3">
        <v>3</v>
      </c>
      <c r="E219" s="3" t="s">
        <v>1246</v>
      </c>
      <c r="F219" s="6" t="s">
        <v>1462</v>
      </c>
    </row>
    <row r="220" ht="64.5" customHeight="1" spans="1:6" x14ac:dyDescent="0.25">
      <c r="A220" s="3" t="s">
        <v>35</v>
      </c>
      <c r="B220" s="3" t="s">
        <v>603</v>
      </c>
      <c r="C220" s="3" t="s">
        <v>604</v>
      </c>
      <c r="D220" s="3">
        <v>4</v>
      </c>
      <c r="E220" s="3" t="s">
        <v>1248</v>
      </c>
      <c r="F220" s="6" t="s">
        <v>1463</v>
      </c>
    </row>
    <row r="221" ht="64.5" customHeight="1" spans="1:6" x14ac:dyDescent="0.25">
      <c r="A221" s="3" t="s">
        <v>35</v>
      </c>
      <c r="B221" s="3" t="s">
        <v>603</v>
      </c>
      <c r="C221" s="3" t="s">
        <v>604</v>
      </c>
      <c r="D221" s="3">
        <v>5</v>
      </c>
      <c r="E221" s="3" t="s">
        <v>1250</v>
      </c>
      <c r="F221" s="6" t="s">
        <v>1464</v>
      </c>
    </row>
    <row r="222" ht="64.5" customHeight="1" spans="1:6" x14ac:dyDescent="0.25">
      <c r="A222" s="3" t="s">
        <v>35</v>
      </c>
      <c r="B222" s="3" t="s">
        <v>613</v>
      </c>
      <c r="C222" s="3" t="s">
        <v>614</v>
      </c>
      <c r="D222" s="3">
        <v>2</v>
      </c>
      <c r="E222" s="3" t="s">
        <v>1244</v>
      </c>
      <c r="F222" s="6" t="s">
        <v>1465</v>
      </c>
    </row>
    <row r="223" ht="79.5" customHeight="1" spans="1:6" x14ac:dyDescent="0.25">
      <c r="A223" s="3" t="s">
        <v>35</v>
      </c>
      <c r="B223" s="3" t="s">
        <v>613</v>
      </c>
      <c r="C223" s="3" t="s">
        <v>614</v>
      </c>
      <c r="D223" s="3">
        <v>3</v>
      </c>
      <c r="E223" s="3" t="s">
        <v>1246</v>
      </c>
      <c r="F223" s="6" t="s">
        <v>1466</v>
      </c>
    </row>
    <row r="224" ht="64.5" customHeight="1" spans="1:6" x14ac:dyDescent="0.25">
      <c r="A224" s="3" t="s">
        <v>35</v>
      </c>
      <c r="B224" s="3" t="s">
        <v>613</v>
      </c>
      <c r="C224" s="3" t="s">
        <v>614</v>
      </c>
      <c r="D224" s="3">
        <v>4</v>
      </c>
      <c r="E224" s="3" t="s">
        <v>1248</v>
      </c>
      <c r="F224" s="6" t="s">
        <v>1467</v>
      </c>
    </row>
    <row r="225" ht="64.5" customHeight="1" spans="1:6" x14ac:dyDescent="0.25">
      <c r="A225" s="3" t="s">
        <v>35</v>
      </c>
      <c r="B225" s="3" t="s">
        <v>613</v>
      </c>
      <c r="C225" s="3" t="s">
        <v>614</v>
      </c>
      <c r="D225" s="3">
        <v>5</v>
      </c>
      <c r="E225" s="3" t="s">
        <v>1250</v>
      </c>
      <c r="F225" s="6" t="s">
        <v>1468</v>
      </c>
    </row>
    <row r="226" ht="57.75" customHeight="1" spans="1:6" x14ac:dyDescent="0.25">
      <c r="A226" s="3" t="s">
        <v>35</v>
      </c>
      <c r="B226" s="3" t="s">
        <v>622</v>
      </c>
      <c r="C226" s="3" t="s">
        <v>623</v>
      </c>
      <c r="D226" s="3">
        <v>2</v>
      </c>
      <c r="E226" s="3" t="s">
        <v>1244</v>
      </c>
      <c r="F226" s="6" t="s">
        <v>1469</v>
      </c>
    </row>
    <row r="227" ht="57.75" customHeight="1" spans="1:6" x14ac:dyDescent="0.25">
      <c r="A227" s="3" t="s">
        <v>35</v>
      </c>
      <c r="B227" s="3" t="s">
        <v>622</v>
      </c>
      <c r="C227" s="3" t="s">
        <v>623</v>
      </c>
      <c r="D227" s="3">
        <v>3</v>
      </c>
      <c r="E227" s="3" t="s">
        <v>1246</v>
      </c>
      <c r="F227" s="6" t="s">
        <v>1470</v>
      </c>
    </row>
    <row r="228" ht="57.75" customHeight="1" spans="1:6" x14ac:dyDescent="0.25">
      <c r="A228" s="3" t="s">
        <v>35</v>
      </c>
      <c r="B228" s="3" t="s">
        <v>622</v>
      </c>
      <c r="C228" s="3" t="s">
        <v>623</v>
      </c>
      <c r="D228" s="3">
        <v>4</v>
      </c>
      <c r="E228" s="3" t="s">
        <v>1248</v>
      </c>
      <c r="F228" s="6" t="s">
        <v>1471</v>
      </c>
    </row>
    <row r="229" ht="57.75" customHeight="1" spans="1:6" x14ac:dyDescent="0.25">
      <c r="A229" s="3" t="s">
        <v>35</v>
      </c>
      <c r="B229" s="3" t="s">
        <v>622</v>
      </c>
      <c r="C229" s="3" t="s">
        <v>623</v>
      </c>
      <c r="D229" s="3">
        <v>5</v>
      </c>
      <c r="E229" s="3" t="s">
        <v>1250</v>
      </c>
      <c r="F229" s="6" t="s">
        <v>1472</v>
      </c>
    </row>
    <row r="230" ht="57.75" customHeight="1" spans="1:6" x14ac:dyDescent="0.25">
      <c r="A230" s="3" t="s">
        <v>35</v>
      </c>
      <c r="B230" s="3" t="s">
        <v>631</v>
      </c>
      <c r="C230" s="3" t="s">
        <v>632</v>
      </c>
      <c r="D230" s="3">
        <v>2</v>
      </c>
      <c r="E230" s="3" t="s">
        <v>1244</v>
      </c>
      <c r="F230" s="6" t="s">
        <v>1473</v>
      </c>
    </row>
    <row r="231" ht="57.75" customHeight="1" spans="1:6" x14ac:dyDescent="0.25">
      <c r="A231" s="3" t="s">
        <v>35</v>
      </c>
      <c r="B231" s="3" t="s">
        <v>631</v>
      </c>
      <c r="C231" s="3" t="s">
        <v>632</v>
      </c>
      <c r="D231" s="3">
        <v>3</v>
      </c>
      <c r="E231" s="3" t="s">
        <v>1246</v>
      </c>
      <c r="F231" s="6" t="s">
        <v>1474</v>
      </c>
    </row>
    <row r="232" ht="57.75" customHeight="1" spans="1:6" x14ac:dyDescent="0.25">
      <c r="A232" s="3" t="s">
        <v>35</v>
      </c>
      <c r="B232" s="3" t="s">
        <v>631</v>
      </c>
      <c r="C232" s="3" t="s">
        <v>632</v>
      </c>
      <c r="D232" s="3">
        <v>4</v>
      </c>
      <c r="E232" s="3" t="s">
        <v>1248</v>
      </c>
      <c r="F232" s="6" t="s">
        <v>1475</v>
      </c>
    </row>
    <row r="233" ht="57.75" customHeight="1" spans="1:6" x14ac:dyDescent="0.25">
      <c r="A233" s="3" t="s">
        <v>35</v>
      </c>
      <c r="B233" s="3" t="s">
        <v>631</v>
      </c>
      <c r="C233" s="3" t="s">
        <v>632</v>
      </c>
      <c r="D233" s="3">
        <v>5</v>
      </c>
      <c r="E233" s="3" t="s">
        <v>1250</v>
      </c>
      <c r="F233" s="6" t="s">
        <v>1476</v>
      </c>
    </row>
    <row r="234" ht="57.75" customHeight="1" spans="1:6" x14ac:dyDescent="0.25">
      <c r="A234" s="3" t="s">
        <v>35</v>
      </c>
      <c r="B234" s="3" t="s">
        <v>642</v>
      </c>
      <c r="C234" s="3" t="s">
        <v>643</v>
      </c>
      <c r="D234" s="3">
        <v>2</v>
      </c>
      <c r="E234" s="3" t="s">
        <v>1244</v>
      </c>
      <c r="F234" s="6" t="s">
        <v>1477</v>
      </c>
    </row>
    <row r="235" ht="57.75" customHeight="1" spans="1:6" x14ac:dyDescent="0.25">
      <c r="A235" s="3" t="s">
        <v>35</v>
      </c>
      <c r="B235" s="3" t="s">
        <v>642</v>
      </c>
      <c r="C235" s="3" t="s">
        <v>643</v>
      </c>
      <c r="D235" s="3">
        <v>3</v>
      </c>
      <c r="E235" s="3" t="s">
        <v>1246</v>
      </c>
      <c r="F235" s="6" t="s">
        <v>1478</v>
      </c>
    </row>
    <row r="236" ht="57.75" customHeight="1" spans="1:6" x14ac:dyDescent="0.25">
      <c r="A236" s="3" t="s">
        <v>35</v>
      </c>
      <c r="B236" s="3" t="s">
        <v>642</v>
      </c>
      <c r="C236" s="3" t="s">
        <v>643</v>
      </c>
      <c r="D236" s="3">
        <v>4</v>
      </c>
      <c r="E236" s="3" t="s">
        <v>1248</v>
      </c>
      <c r="F236" s="6" t="s">
        <v>1479</v>
      </c>
    </row>
    <row r="237" ht="64.5" customHeight="1" spans="1:6" x14ac:dyDescent="0.25">
      <c r="A237" s="3" t="s">
        <v>35</v>
      </c>
      <c r="B237" s="3" t="s">
        <v>642</v>
      </c>
      <c r="C237" s="3" t="s">
        <v>643</v>
      </c>
      <c r="D237" s="3">
        <v>5</v>
      </c>
      <c r="E237" s="3" t="s">
        <v>1250</v>
      </c>
      <c r="F237" s="6" t="s">
        <v>1480</v>
      </c>
    </row>
    <row r="238" ht="57.75" customHeight="1" spans="1:6" x14ac:dyDescent="0.25">
      <c r="A238" s="3" t="s">
        <v>35</v>
      </c>
      <c r="B238" s="3" t="s">
        <v>656</v>
      </c>
      <c r="C238" s="3" t="s">
        <v>657</v>
      </c>
      <c r="D238" s="3">
        <v>2</v>
      </c>
      <c r="E238" s="3" t="s">
        <v>1244</v>
      </c>
      <c r="F238" s="6" t="s">
        <v>1481</v>
      </c>
    </row>
    <row r="239" ht="57.75" customHeight="1" spans="1:6" x14ac:dyDescent="0.25">
      <c r="A239" s="3" t="s">
        <v>35</v>
      </c>
      <c r="B239" s="3" t="s">
        <v>656</v>
      </c>
      <c r="C239" s="3" t="s">
        <v>657</v>
      </c>
      <c r="D239" s="3">
        <v>3</v>
      </c>
      <c r="E239" s="3" t="s">
        <v>1246</v>
      </c>
      <c r="F239" s="6" t="s">
        <v>1482</v>
      </c>
    </row>
    <row r="240" ht="57.75" customHeight="1" spans="1:6" x14ac:dyDescent="0.25">
      <c r="A240" s="3" t="s">
        <v>35</v>
      </c>
      <c r="B240" s="3" t="s">
        <v>656</v>
      </c>
      <c r="C240" s="3" t="s">
        <v>657</v>
      </c>
      <c r="D240" s="3">
        <v>4</v>
      </c>
      <c r="E240" s="3" t="s">
        <v>1248</v>
      </c>
      <c r="F240" s="6" t="s">
        <v>1483</v>
      </c>
    </row>
    <row r="241" ht="57.75" customHeight="1" spans="1:6" x14ac:dyDescent="0.25">
      <c r="A241" s="3" t="s">
        <v>35</v>
      </c>
      <c r="B241" s="3" t="s">
        <v>656</v>
      </c>
      <c r="C241" s="3" t="s">
        <v>657</v>
      </c>
      <c r="D241" s="3">
        <v>5</v>
      </c>
      <c r="E241" s="3" t="s">
        <v>1250</v>
      </c>
      <c r="F241" s="6" t="s">
        <v>1484</v>
      </c>
    </row>
    <row r="242" ht="64.5" customHeight="1" spans="1:6" x14ac:dyDescent="0.25">
      <c r="A242" s="3" t="s">
        <v>35</v>
      </c>
      <c r="B242" s="3" t="s">
        <v>665</v>
      </c>
      <c r="C242" s="3" t="s">
        <v>666</v>
      </c>
      <c r="D242" s="3">
        <v>2</v>
      </c>
      <c r="E242" s="3" t="s">
        <v>1244</v>
      </c>
      <c r="F242" s="6" t="s">
        <v>1485</v>
      </c>
    </row>
    <row r="243" ht="64.5" customHeight="1" spans="1:6" x14ac:dyDescent="0.25">
      <c r="A243" s="3" t="s">
        <v>35</v>
      </c>
      <c r="B243" s="3" t="s">
        <v>665</v>
      </c>
      <c r="C243" s="3" t="s">
        <v>666</v>
      </c>
      <c r="D243" s="3">
        <v>3</v>
      </c>
      <c r="E243" s="3" t="s">
        <v>1246</v>
      </c>
      <c r="F243" s="6" t="s">
        <v>1486</v>
      </c>
    </row>
    <row r="244" ht="64.5" customHeight="1" spans="1:6" x14ac:dyDescent="0.25">
      <c r="A244" s="3" t="s">
        <v>35</v>
      </c>
      <c r="B244" s="3" t="s">
        <v>665</v>
      </c>
      <c r="C244" s="3" t="s">
        <v>666</v>
      </c>
      <c r="D244" s="3">
        <v>4</v>
      </c>
      <c r="E244" s="3" t="s">
        <v>1248</v>
      </c>
      <c r="F244" s="6" t="s">
        <v>1487</v>
      </c>
    </row>
    <row r="245" ht="64.5" customHeight="1" spans="1:6" x14ac:dyDescent="0.25">
      <c r="A245" s="3" t="s">
        <v>35</v>
      </c>
      <c r="B245" s="3" t="s">
        <v>665</v>
      </c>
      <c r="C245" s="3" t="s">
        <v>666</v>
      </c>
      <c r="D245" s="3">
        <v>5</v>
      </c>
      <c r="E245" s="3" t="s">
        <v>1250</v>
      </c>
      <c r="F245" s="6" t="s">
        <v>1488</v>
      </c>
    </row>
    <row r="246" ht="57.75" customHeight="1" spans="1:6" x14ac:dyDescent="0.25">
      <c r="A246" s="3" t="s">
        <v>35</v>
      </c>
      <c r="B246" s="3" t="s">
        <v>674</v>
      </c>
      <c r="C246" s="3" t="s">
        <v>675</v>
      </c>
      <c r="D246" s="3">
        <v>2</v>
      </c>
      <c r="E246" s="3" t="s">
        <v>1244</v>
      </c>
      <c r="F246" s="6" t="s">
        <v>1489</v>
      </c>
    </row>
    <row r="247" ht="57.75" customHeight="1" spans="1:6" x14ac:dyDescent="0.25">
      <c r="A247" s="3" t="s">
        <v>35</v>
      </c>
      <c r="B247" s="3" t="s">
        <v>674</v>
      </c>
      <c r="C247" s="3" t="s">
        <v>675</v>
      </c>
      <c r="D247" s="3">
        <v>3</v>
      </c>
      <c r="E247" s="3" t="s">
        <v>1246</v>
      </c>
      <c r="F247" s="6" t="s">
        <v>1490</v>
      </c>
    </row>
    <row r="248" ht="57.75" customHeight="1" spans="1:6" x14ac:dyDescent="0.25">
      <c r="A248" s="3" t="s">
        <v>35</v>
      </c>
      <c r="B248" s="3" t="s">
        <v>674</v>
      </c>
      <c r="C248" s="3" t="s">
        <v>675</v>
      </c>
      <c r="D248" s="3">
        <v>4</v>
      </c>
      <c r="E248" s="3" t="s">
        <v>1248</v>
      </c>
      <c r="F248" s="6" t="s">
        <v>1491</v>
      </c>
    </row>
    <row r="249" ht="57.75" customHeight="1" spans="1:6" x14ac:dyDescent="0.25">
      <c r="A249" s="3" t="s">
        <v>35</v>
      </c>
      <c r="B249" s="3" t="s">
        <v>674</v>
      </c>
      <c r="C249" s="3" t="s">
        <v>675</v>
      </c>
      <c r="D249" s="3">
        <v>5</v>
      </c>
      <c r="E249" s="3" t="s">
        <v>1250</v>
      </c>
      <c r="F249" s="6" t="s">
        <v>1492</v>
      </c>
    </row>
    <row r="250" ht="94.5" customHeight="1" spans="1:6" x14ac:dyDescent="0.25">
      <c r="A250" s="3" t="s">
        <v>35</v>
      </c>
      <c r="B250" s="3" t="s">
        <v>685</v>
      </c>
      <c r="C250" s="3" t="s">
        <v>686</v>
      </c>
      <c r="D250" s="3">
        <v>2</v>
      </c>
      <c r="E250" s="3" t="s">
        <v>1244</v>
      </c>
      <c r="F250" s="6" t="s">
        <v>1493</v>
      </c>
    </row>
    <row r="251" ht="94.5" customHeight="1" spans="1:6" x14ac:dyDescent="0.25">
      <c r="A251" s="3" t="s">
        <v>35</v>
      </c>
      <c r="B251" s="3" t="s">
        <v>685</v>
      </c>
      <c r="C251" s="3" t="s">
        <v>686</v>
      </c>
      <c r="D251" s="3">
        <v>3</v>
      </c>
      <c r="E251" s="3" t="s">
        <v>1246</v>
      </c>
      <c r="F251" s="6" t="s">
        <v>1494</v>
      </c>
    </row>
    <row r="252" ht="109.5" customHeight="1" spans="1:6" x14ac:dyDescent="0.25">
      <c r="A252" s="3" t="s">
        <v>35</v>
      </c>
      <c r="B252" s="3" t="s">
        <v>685</v>
      </c>
      <c r="C252" s="3" t="s">
        <v>686</v>
      </c>
      <c r="D252" s="3">
        <v>4</v>
      </c>
      <c r="E252" s="3" t="s">
        <v>1248</v>
      </c>
      <c r="F252" s="6" t="s">
        <v>1495</v>
      </c>
    </row>
    <row r="253" ht="94.5" customHeight="1" spans="1:6" x14ac:dyDescent="0.25">
      <c r="A253" s="3" t="s">
        <v>35</v>
      </c>
      <c r="B253" s="3" t="s">
        <v>685</v>
      </c>
      <c r="C253" s="3" t="s">
        <v>686</v>
      </c>
      <c r="D253" s="3">
        <v>5</v>
      </c>
      <c r="E253" s="3" t="s">
        <v>1250</v>
      </c>
      <c r="F253" s="6" t="s">
        <v>1496</v>
      </c>
    </row>
    <row r="254" ht="79.5" customHeight="1" spans="1:6" x14ac:dyDescent="0.25">
      <c r="A254" s="3" t="s">
        <v>35</v>
      </c>
      <c r="B254" s="3" t="s">
        <v>694</v>
      </c>
      <c r="C254" s="3" t="s">
        <v>695</v>
      </c>
      <c r="D254" s="3">
        <v>2</v>
      </c>
      <c r="E254" s="3" t="s">
        <v>1244</v>
      </c>
      <c r="F254" s="6" t="s">
        <v>1497</v>
      </c>
    </row>
    <row r="255" ht="109.5" customHeight="1" spans="1:6" x14ac:dyDescent="0.25">
      <c r="A255" s="3" t="s">
        <v>35</v>
      </c>
      <c r="B255" s="3" t="s">
        <v>694</v>
      </c>
      <c r="C255" s="3" t="s">
        <v>695</v>
      </c>
      <c r="D255" s="3">
        <v>3</v>
      </c>
      <c r="E255" s="3" t="s">
        <v>1246</v>
      </c>
      <c r="F255" s="6" t="s">
        <v>1498</v>
      </c>
    </row>
    <row r="256" ht="109.5" customHeight="1" spans="1:6" x14ac:dyDescent="0.25">
      <c r="A256" s="3" t="s">
        <v>35</v>
      </c>
      <c r="B256" s="3" t="s">
        <v>694</v>
      </c>
      <c r="C256" s="3" t="s">
        <v>695</v>
      </c>
      <c r="D256" s="3">
        <v>4</v>
      </c>
      <c r="E256" s="3" t="s">
        <v>1248</v>
      </c>
      <c r="F256" s="6" t="s">
        <v>1499</v>
      </c>
    </row>
    <row r="257" ht="109.5" customHeight="1" spans="1:6" x14ac:dyDescent="0.25">
      <c r="A257" s="3" t="s">
        <v>35</v>
      </c>
      <c r="B257" s="3" t="s">
        <v>694</v>
      </c>
      <c r="C257" s="3" t="s">
        <v>695</v>
      </c>
      <c r="D257" s="3">
        <v>5</v>
      </c>
      <c r="E257" s="3" t="s">
        <v>1250</v>
      </c>
      <c r="F257" s="6" t="s">
        <v>1500</v>
      </c>
    </row>
    <row r="258" ht="94.5" customHeight="1" spans="1:6" x14ac:dyDescent="0.25">
      <c r="A258" s="3" t="s">
        <v>35</v>
      </c>
      <c r="B258" s="3" t="s">
        <v>703</v>
      </c>
      <c r="C258" s="3" t="s">
        <v>704</v>
      </c>
      <c r="D258" s="3">
        <v>2</v>
      </c>
      <c r="E258" s="3" t="s">
        <v>1244</v>
      </c>
      <c r="F258" s="6" t="s">
        <v>1501</v>
      </c>
    </row>
    <row r="259" ht="94.5" customHeight="1" spans="1:6" x14ac:dyDescent="0.25">
      <c r="A259" s="3" t="s">
        <v>35</v>
      </c>
      <c r="B259" s="3" t="s">
        <v>703</v>
      </c>
      <c r="C259" s="3" t="s">
        <v>704</v>
      </c>
      <c r="D259" s="3">
        <v>3</v>
      </c>
      <c r="E259" s="3" t="s">
        <v>1246</v>
      </c>
      <c r="F259" s="6" t="s">
        <v>1502</v>
      </c>
    </row>
    <row r="260" ht="94.5" customHeight="1" spans="1:6" x14ac:dyDescent="0.25">
      <c r="A260" s="3" t="s">
        <v>35</v>
      </c>
      <c r="B260" s="3" t="s">
        <v>703</v>
      </c>
      <c r="C260" s="3" t="s">
        <v>704</v>
      </c>
      <c r="D260" s="3">
        <v>4</v>
      </c>
      <c r="E260" s="3" t="s">
        <v>1248</v>
      </c>
      <c r="F260" s="6" t="s">
        <v>1503</v>
      </c>
    </row>
    <row r="261" ht="94.5" customHeight="1" spans="1:6" x14ac:dyDescent="0.25">
      <c r="A261" s="3" t="s">
        <v>35</v>
      </c>
      <c r="B261" s="3" t="s">
        <v>703</v>
      </c>
      <c r="C261" s="3" t="s">
        <v>704</v>
      </c>
      <c r="D261" s="3">
        <v>5</v>
      </c>
      <c r="E261" s="3" t="s">
        <v>1250</v>
      </c>
      <c r="F261" s="6" t="s">
        <v>1504</v>
      </c>
    </row>
    <row r="262" ht="57.75" customHeight="1" spans="1:6" x14ac:dyDescent="0.25">
      <c r="A262" s="3" t="s">
        <v>35</v>
      </c>
      <c r="B262" s="3" t="s">
        <v>712</v>
      </c>
      <c r="C262" s="3" t="s">
        <v>713</v>
      </c>
      <c r="D262" s="3">
        <v>2</v>
      </c>
      <c r="E262" s="3" t="s">
        <v>1244</v>
      </c>
      <c r="F262" s="6" t="s">
        <v>1505</v>
      </c>
    </row>
    <row r="263" ht="79.5" customHeight="1" spans="1:6" x14ac:dyDescent="0.25">
      <c r="A263" s="3" t="s">
        <v>35</v>
      </c>
      <c r="B263" s="3" t="s">
        <v>712</v>
      </c>
      <c r="C263" s="3" t="s">
        <v>713</v>
      </c>
      <c r="D263" s="3">
        <v>3</v>
      </c>
      <c r="E263" s="3" t="s">
        <v>1246</v>
      </c>
      <c r="F263" s="6" t="s">
        <v>1506</v>
      </c>
    </row>
    <row r="264" ht="79.5" customHeight="1" spans="1:6" x14ac:dyDescent="0.25">
      <c r="A264" s="3" t="s">
        <v>35</v>
      </c>
      <c r="B264" s="3" t="s">
        <v>712</v>
      </c>
      <c r="C264" s="3" t="s">
        <v>713</v>
      </c>
      <c r="D264" s="3">
        <v>4</v>
      </c>
      <c r="E264" s="3" t="s">
        <v>1248</v>
      </c>
      <c r="F264" s="6" t="s">
        <v>1507</v>
      </c>
    </row>
    <row r="265" ht="94.5" customHeight="1" spans="1:6" x14ac:dyDescent="0.25">
      <c r="A265" s="3" t="s">
        <v>35</v>
      </c>
      <c r="B265" s="3" t="s">
        <v>712</v>
      </c>
      <c r="C265" s="3" t="s">
        <v>713</v>
      </c>
      <c r="D265" s="3">
        <v>5</v>
      </c>
      <c r="E265" s="3" t="s">
        <v>1250</v>
      </c>
      <c r="F265" s="6" t="s">
        <v>1508</v>
      </c>
    </row>
    <row r="266" ht="57.75" customHeight="1" spans="1:6" x14ac:dyDescent="0.25">
      <c r="A266" s="3" t="s">
        <v>35</v>
      </c>
      <c r="B266" s="3" t="s">
        <v>722</v>
      </c>
      <c r="C266" s="3" t="s">
        <v>723</v>
      </c>
      <c r="D266" s="3">
        <v>2</v>
      </c>
      <c r="E266" s="3" t="s">
        <v>1244</v>
      </c>
      <c r="F266" s="6" t="s">
        <v>1509</v>
      </c>
    </row>
    <row r="267" ht="64.5" customHeight="1" spans="1:6" x14ac:dyDescent="0.25">
      <c r="A267" s="3" t="s">
        <v>35</v>
      </c>
      <c r="B267" s="3" t="s">
        <v>722</v>
      </c>
      <c r="C267" s="3" t="s">
        <v>723</v>
      </c>
      <c r="D267" s="3">
        <v>3</v>
      </c>
      <c r="E267" s="3" t="s">
        <v>1246</v>
      </c>
      <c r="F267" s="6" t="s">
        <v>1510</v>
      </c>
    </row>
    <row r="268" ht="64.5" customHeight="1" spans="1:6" x14ac:dyDescent="0.25">
      <c r="A268" s="3" t="s">
        <v>35</v>
      </c>
      <c r="B268" s="3" t="s">
        <v>722</v>
      </c>
      <c r="C268" s="3" t="s">
        <v>723</v>
      </c>
      <c r="D268" s="3">
        <v>4</v>
      </c>
      <c r="E268" s="3" t="s">
        <v>1248</v>
      </c>
      <c r="F268" s="6" t="s">
        <v>1511</v>
      </c>
    </row>
    <row r="269" ht="57.75" customHeight="1" spans="1:6" x14ac:dyDescent="0.25">
      <c r="A269" s="3" t="s">
        <v>35</v>
      </c>
      <c r="B269" s="3" t="s">
        <v>722</v>
      </c>
      <c r="C269" s="3" t="s">
        <v>723</v>
      </c>
      <c r="D269" s="3">
        <v>5</v>
      </c>
      <c r="E269" s="3" t="s">
        <v>1250</v>
      </c>
      <c r="F269" s="6" t="s">
        <v>1512</v>
      </c>
    </row>
    <row r="270" ht="57.75" customHeight="1" spans="1:6" x14ac:dyDescent="0.25">
      <c r="A270" s="3" t="s">
        <v>35</v>
      </c>
      <c r="B270" s="3" t="s">
        <v>733</v>
      </c>
      <c r="C270" s="3" t="s">
        <v>734</v>
      </c>
      <c r="D270" s="3">
        <v>2</v>
      </c>
      <c r="E270" s="3" t="s">
        <v>1244</v>
      </c>
      <c r="F270" s="6" t="s">
        <v>1513</v>
      </c>
    </row>
    <row r="271" ht="94.5" customHeight="1" spans="1:6" x14ac:dyDescent="0.25">
      <c r="A271" s="3" t="s">
        <v>35</v>
      </c>
      <c r="B271" s="3" t="s">
        <v>733</v>
      </c>
      <c r="C271" s="3" t="s">
        <v>734</v>
      </c>
      <c r="D271" s="3">
        <v>3</v>
      </c>
      <c r="E271" s="3" t="s">
        <v>1246</v>
      </c>
      <c r="F271" s="6" t="s">
        <v>1514</v>
      </c>
    </row>
    <row r="272" ht="94.5" customHeight="1" spans="1:6" x14ac:dyDescent="0.25">
      <c r="A272" s="3" t="s">
        <v>35</v>
      </c>
      <c r="B272" s="3" t="s">
        <v>733</v>
      </c>
      <c r="C272" s="3" t="s">
        <v>734</v>
      </c>
      <c r="D272" s="3">
        <v>4</v>
      </c>
      <c r="E272" s="3" t="s">
        <v>1248</v>
      </c>
      <c r="F272" s="6" t="s">
        <v>1515</v>
      </c>
    </row>
    <row r="273" ht="94.5" customHeight="1" spans="1:6" x14ac:dyDescent="0.25">
      <c r="A273" s="3" t="s">
        <v>35</v>
      </c>
      <c r="B273" s="3" t="s">
        <v>733</v>
      </c>
      <c r="C273" s="3" t="s">
        <v>734</v>
      </c>
      <c r="D273" s="3">
        <v>5</v>
      </c>
      <c r="E273" s="3" t="s">
        <v>1250</v>
      </c>
      <c r="F273" s="6" t="s">
        <v>1516</v>
      </c>
    </row>
    <row r="274" ht="57.75" customHeight="1" spans="1:6" x14ac:dyDescent="0.25">
      <c r="A274" s="3" t="s">
        <v>35</v>
      </c>
      <c r="B274" s="3" t="s">
        <v>743</v>
      </c>
      <c r="C274" s="3" t="s">
        <v>744</v>
      </c>
      <c r="D274" s="3">
        <v>2</v>
      </c>
      <c r="E274" s="3" t="s">
        <v>1244</v>
      </c>
      <c r="F274" s="6" t="s">
        <v>1517</v>
      </c>
    </row>
    <row r="275" ht="57.75" customHeight="1" spans="1:6" x14ac:dyDescent="0.25">
      <c r="A275" s="3" t="s">
        <v>35</v>
      </c>
      <c r="B275" s="3" t="s">
        <v>743</v>
      </c>
      <c r="C275" s="3" t="s">
        <v>744</v>
      </c>
      <c r="D275" s="3">
        <v>3</v>
      </c>
      <c r="E275" s="3" t="s">
        <v>1246</v>
      </c>
      <c r="F275" s="6" t="s">
        <v>1518</v>
      </c>
    </row>
    <row r="276" ht="57.75" customHeight="1" spans="1:6" x14ac:dyDescent="0.25">
      <c r="A276" s="3" t="s">
        <v>35</v>
      </c>
      <c r="B276" s="3" t="s">
        <v>743</v>
      </c>
      <c r="C276" s="3" t="s">
        <v>744</v>
      </c>
      <c r="D276" s="3">
        <v>4</v>
      </c>
      <c r="E276" s="3" t="s">
        <v>1248</v>
      </c>
      <c r="F276" s="6" t="s">
        <v>1519</v>
      </c>
    </row>
    <row r="277" ht="57.75" customHeight="1" spans="1:6" x14ac:dyDescent="0.25">
      <c r="A277" s="3" t="s">
        <v>35</v>
      </c>
      <c r="B277" s="3" t="s">
        <v>743</v>
      </c>
      <c r="C277" s="3" t="s">
        <v>744</v>
      </c>
      <c r="D277" s="3">
        <v>5</v>
      </c>
      <c r="E277" s="3" t="s">
        <v>1250</v>
      </c>
      <c r="F277" s="6" t="s">
        <v>1520</v>
      </c>
    </row>
    <row r="278" ht="57.75" customHeight="1" spans="1:6" x14ac:dyDescent="0.25">
      <c r="A278" s="3" t="s">
        <v>35</v>
      </c>
      <c r="B278" s="3" t="s">
        <v>752</v>
      </c>
      <c r="C278" s="3" t="s">
        <v>753</v>
      </c>
      <c r="D278" s="3">
        <v>2</v>
      </c>
      <c r="E278" s="3" t="s">
        <v>1244</v>
      </c>
      <c r="F278" s="6" t="s">
        <v>1521</v>
      </c>
    </row>
    <row r="279" ht="57.75" customHeight="1" spans="1:6" x14ac:dyDescent="0.25">
      <c r="A279" s="3" t="s">
        <v>35</v>
      </c>
      <c r="B279" s="3" t="s">
        <v>752</v>
      </c>
      <c r="C279" s="3" t="s">
        <v>753</v>
      </c>
      <c r="D279" s="3">
        <v>3</v>
      </c>
      <c r="E279" s="3" t="s">
        <v>1246</v>
      </c>
      <c r="F279" s="6" t="s">
        <v>1522</v>
      </c>
    </row>
    <row r="280" ht="57.75" customHeight="1" spans="1:6" x14ac:dyDescent="0.25">
      <c r="A280" s="3" t="s">
        <v>35</v>
      </c>
      <c r="B280" s="3" t="s">
        <v>752</v>
      </c>
      <c r="C280" s="3" t="s">
        <v>753</v>
      </c>
      <c r="D280" s="3">
        <v>4</v>
      </c>
      <c r="E280" s="3" t="s">
        <v>1248</v>
      </c>
      <c r="F280" s="6" t="s">
        <v>1523</v>
      </c>
    </row>
    <row r="281" ht="57.75" customHeight="1" spans="1:6" x14ac:dyDescent="0.25">
      <c r="A281" s="3" t="s">
        <v>35</v>
      </c>
      <c r="B281" s="3" t="s">
        <v>752</v>
      </c>
      <c r="C281" s="3" t="s">
        <v>753</v>
      </c>
      <c r="D281" s="3">
        <v>5</v>
      </c>
      <c r="E281" s="3" t="s">
        <v>1250</v>
      </c>
      <c r="F281" s="6" t="s">
        <v>1524</v>
      </c>
    </row>
    <row r="282" ht="57.75" customHeight="1" spans="1:6" x14ac:dyDescent="0.25">
      <c r="A282" s="3" t="s">
        <v>35</v>
      </c>
      <c r="B282" s="3" t="s">
        <v>761</v>
      </c>
      <c r="C282" s="3" t="s">
        <v>762</v>
      </c>
      <c r="D282" s="3">
        <v>2</v>
      </c>
      <c r="E282" s="3" t="s">
        <v>1244</v>
      </c>
      <c r="F282" s="6" t="s">
        <v>1525</v>
      </c>
    </row>
    <row r="283" ht="64.5" customHeight="1" spans="1:6" x14ac:dyDescent="0.25">
      <c r="A283" s="3" t="s">
        <v>35</v>
      </c>
      <c r="B283" s="3" t="s">
        <v>761</v>
      </c>
      <c r="C283" s="3" t="s">
        <v>762</v>
      </c>
      <c r="D283" s="3">
        <v>3</v>
      </c>
      <c r="E283" s="3" t="s">
        <v>1246</v>
      </c>
      <c r="F283" s="6" t="s">
        <v>1526</v>
      </c>
    </row>
    <row r="284" ht="57.75" customHeight="1" spans="1:6" x14ac:dyDescent="0.25">
      <c r="A284" s="3" t="s">
        <v>35</v>
      </c>
      <c r="B284" s="3" t="s">
        <v>761</v>
      </c>
      <c r="C284" s="3" t="s">
        <v>762</v>
      </c>
      <c r="D284" s="3">
        <v>4</v>
      </c>
      <c r="E284" s="3" t="s">
        <v>1248</v>
      </c>
      <c r="F284" s="6" t="s">
        <v>1527</v>
      </c>
    </row>
    <row r="285" ht="57.75" customHeight="1" spans="1:6" x14ac:dyDescent="0.25">
      <c r="A285" s="3" t="s">
        <v>35</v>
      </c>
      <c r="B285" s="3" t="s">
        <v>761</v>
      </c>
      <c r="C285" s="3" t="s">
        <v>762</v>
      </c>
      <c r="D285" s="3">
        <v>5</v>
      </c>
      <c r="E285" s="3" t="s">
        <v>1250</v>
      </c>
      <c r="F285" s="6" t="s">
        <v>1528</v>
      </c>
    </row>
    <row r="286" ht="57.75" customHeight="1" spans="1:6" x14ac:dyDescent="0.25">
      <c r="A286" s="3" t="s">
        <v>35</v>
      </c>
      <c r="B286" s="3" t="s">
        <v>772</v>
      </c>
      <c r="C286" s="3" t="s">
        <v>773</v>
      </c>
      <c r="D286" s="3">
        <v>2</v>
      </c>
      <c r="E286" s="3" t="s">
        <v>1244</v>
      </c>
      <c r="F286" s="6" t="s">
        <v>1529</v>
      </c>
    </row>
    <row r="287" ht="57.75" customHeight="1" spans="1:6" x14ac:dyDescent="0.25">
      <c r="A287" s="3" t="s">
        <v>35</v>
      </c>
      <c r="B287" s="3" t="s">
        <v>772</v>
      </c>
      <c r="C287" s="3" t="s">
        <v>773</v>
      </c>
      <c r="D287" s="3">
        <v>3</v>
      </c>
      <c r="E287" s="3" t="s">
        <v>1246</v>
      </c>
      <c r="F287" s="6" t="s">
        <v>1530</v>
      </c>
    </row>
    <row r="288" ht="57.75" customHeight="1" spans="1:6" x14ac:dyDescent="0.25">
      <c r="A288" s="3" t="s">
        <v>35</v>
      </c>
      <c r="B288" s="3" t="s">
        <v>772</v>
      </c>
      <c r="C288" s="3" t="s">
        <v>773</v>
      </c>
      <c r="D288" s="3">
        <v>4</v>
      </c>
      <c r="E288" s="3" t="s">
        <v>1248</v>
      </c>
      <c r="F288" s="6" t="s">
        <v>1531</v>
      </c>
    </row>
    <row r="289" ht="57.75" customHeight="1" spans="1:6" x14ac:dyDescent="0.25">
      <c r="A289" s="3" t="s">
        <v>35</v>
      </c>
      <c r="B289" s="3" t="s">
        <v>772</v>
      </c>
      <c r="C289" s="3" t="s">
        <v>773</v>
      </c>
      <c r="D289" s="3">
        <v>5</v>
      </c>
      <c r="E289" s="3" t="s">
        <v>1250</v>
      </c>
      <c r="F289" s="6" t="s">
        <v>1532</v>
      </c>
    </row>
    <row r="290" ht="57.75" customHeight="1" spans="1:6" x14ac:dyDescent="0.25">
      <c r="A290" s="3" t="s">
        <v>35</v>
      </c>
      <c r="B290" s="3" t="s">
        <v>784</v>
      </c>
      <c r="C290" s="3" t="s">
        <v>785</v>
      </c>
      <c r="D290" s="3">
        <v>2</v>
      </c>
      <c r="E290" s="3" t="s">
        <v>1244</v>
      </c>
      <c r="F290" s="6" t="s">
        <v>1533</v>
      </c>
    </row>
    <row r="291" ht="64.5" customHeight="1" spans="1:6" x14ac:dyDescent="0.25">
      <c r="A291" s="3" t="s">
        <v>35</v>
      </c>
      <c r="B291" s="3" t="s">
        <v>784</v>
      </c>
      <c r="C291" s="3" t="s">
        <v>785</v>
      </c>
      <c r="D291" s="3">
        <v>3</v>
      </c>
      <c r="E291" s="3" t="s">
        <v>1246</v>
      </c>
      <c r="F291" s="6" t="s">
        <v>1534</v>
      </c>
    </row>
    <row r="292" ht="64.5" customHeight="1" spans="1:6" x14ac:dyDescent="0.25">
      <c r="A292" s="3" t="s">
        <v>35</v>
      </c>
      <c r="B292" s="3" t="s">
        <v>784</v>
      </c>
      <c r="C292" s="3" t="s">
        <v>785</v>
      </c>
      <c r="D292" s="3">
        <v>4</v>
      </c>
      <c r="E292" s="3" t="s">
        <v>1248</v>
      </c>
      <c r="F292" s="6" t="s">
        <v>1535</v>
      </c>
    </row>
    <row r="293" ht="64.5" customHeight="1" spans="1:6" x14ac:dyDescent="0.25">
      <c r="A293" s="3" t="s">
        <v>35</v>
      </c>
      <c r="B293" s="3" t="s">
        <v>784</v>
      </c>
      <c r="C293" s="3" t="s">
        <v>785</v>
      </c>
      <c r="D293" s="3">
        <v>5</v>
      </c>
      <c r="E293" s="3" t="s">
        <v>1250</v>
      </c>
      <c r="F293" s="6" t="s">
        <v>1536</v>
      </c>
    </row>
    <row r="294" ht="57.75" customHeight="1" spans="1:6" x14ac:dyDescent="0.25">
      <c r="A294" s="3" t="s">
        <v>35</v>
      </c>
      <c r="B294" s="3" t="s">
        <v>793</v>
      </c>
      <c r="C294" s="3" t="s">
        <v>794</v>
      </c>
      <c r="D294" s="3">
        <v>2</v>
      </c>
      <c r="E294" s="3" t="s">
        <v>1244</v>
      </c>
      <c r="F294" s="6" t="s">
        <v>1537</v>
      </c>
    </row>
    <row r="295" ht="57.75" customHeight="1" spans="1:6" x14ac:dyDescent="0.25">
      <c r="A295" s="3" t="s">
        <v>35</v>
      </c>
      <c r="B295" s="3" t="s">
        <v>793</v>
      </c>
      <c r="C295" s="3" t="s">
        <v>794</v>
      </c>
      <c r="D295" s="3">
        <v>3</v>
      </c>
      <c r="E295" s="3" t="s">
        <v>1246</v>
      </c>
      <c r="F295" s="6" t="s">
        <v>1538</v>
      </c>
    </row>
    <row r="296" ht="57.75" customHeight="1" spans="1:6" x14ac:dyDescent="0.25">
      <c r="A296" s="3" t="s">
        <v>35</v>
      </c>
      <c r="B296" s="3" t="s">
        <v>793</v>
      </c>
      <c r="C296" s="3" t="s">
        <v>794</v>
      </c>
      <c r="D296" s="3">
        <v>4</v>
      </c>
      <c r="E296" s="3" t="s">
        <v>1248</v>
      </c>
      <c r="F296" s="6" t="s">
        <v>1539</v>
      </c>
    </row>
    <row r="297" ht="57.75" customHeight="1" spans="1:6" x14ac:dyDescent="0.25">
      <c r="A297" s="3" t="s">
        <v>35</v>
      </c>
      <c r="B297" s="3" t="s">
        <v>793</v>
      </c>
      <c r="C297" s="3" t="s">
        <v>794</v>
      </c>
      <c r="D297" s="3">
        <v>5</v>
      </c>
      <c r="E297" s="3" t="s">
        <v>1250</v>
      </c>
      <c r="F297" s="6" t="s">
        <v>1540</v>
      </c>
    </row>
    <row r="298" ht="57.75" customHeight="1" spans="1:6" x14ac:dyDescent="0.25">
      <c r="A298" s="3" t="s">
        <v>35</v>
      </c>
      <c r="B298" s="3" t="s">
        <v>806</v>
      </c>
      <c r="C298" s="3" t="s">
        <v>807</v>
      </c>
      <c r="D298" s="3">
        <v>2</v>
      </c>
      <c r="E298" s="3" t="s">
        <v>1244</v>
      </c>
      <c r="F298" s="6" t="s">
        <v>1541</v>
      </c>
    </row>
    <row r="299" ht="57.75" customHeight="1" spans="1:6" x14ac:dyDescent="0.25">
      <c r="A299" s="3" t="s">
        <v>35</v>
      </c>
      <c r="B299" s="3" t="s">
        <v>806</v>
      </c>
      <c r="C299" s="3" t="s">
        <v>807</v>
      </c>
      <c r="D299" s="3">
        <v>3</v>
      </c>
      <c r="E299" s="3" t="s">
        <v>1246</v>
      </c>
      <c r="F299" s="6" t="s">
        <v>1542</v>
      </c>
    </row>
    <row r="300" ht="64.5" customHeight="1" spans="1:6" x14ac:dyDescent="0.25">
      <c r="A300" s="3" t="s">
        <v>35</v>
      </c>
      <c r="B300" s="3" t="s">
        <v>806</v>
      </c>
      <c r="C300" s="3" t="s">
        <v>807</v>
      </c>
      <c r="D300" s="3">
        <v>4</v>
      </c>
      <c r="E300" s="3" t="s">
        <v>1248</v>
      </c>
      <c r="F300" s="6" t="s">
        <v>1543</v>
      </c>
    </row>
    <row r="301" ht="64.5" customHeight="1" spans="1:6" x14ac:dyDescent="0.25">
      <c r="A301" s="3" t="s">
        <v>35</v>
      </c>
      <c r="B301" s="3" t="s">
        <v>806</v>
      </c>
      <c r="C301" s="3" t="s">
        <v>807</v>
      </c>
      <c r="D301" s="3">
        <v>5</v>
      </c>
      <c r="E301" s="3" t="s">
        <v>1250</v>
      </c>
      <c r="F301" s="6" t="s">
        <v>1544</v>
      </c>
    </row>
    <row r="302" ht="57.75" customHeight="1" spans="1:6" x14ac:dyDescent="0.25">
      <c r="A302" s="3" t="s">
        <v>35</v>
      </c>
      <c r="B302" s="3" t="s">
        <v>815</v>
      </c>
      <c r="C302" s="3" t="s">
        <v>816</v>
      </c>
      <c r="D302" s="3">
        <v>2</v>
      </c>
      <c r="E302" s="3" t="s">
        <v>1244</v>
      </c>
      <c r="F302" s="6" t="s">
        <v>1545</v>
      </c>
    </row>
    <row r="303" ht="64.5" customHeight="1" spans="1:6" x14ac:dyDescent="0.25">
      <c r="A303" s="3" t="s">
        <v>35</v>
      </c>
      <c r="B303" s="3" t="s">
        <v>815</v>
      </c>
      <c r="C303" s="3" t="s">
        <v>816</v>
      </c>
      <c r="D303" s="3">
        <v>3</v>
      </c>
      <c r="E303" s="3" t="s">
        <v>1246</v>
      </c>
      <c r="F303" s="6" t="s">
        <v>1546</v>
      </c>
    </row>
    <row r="304" ht="64.5" customHeight="1" spans="1:6" x14ac:dyDescent="0.25">
      <c r="A304" s="3" t="s">
        <v>35</v>
      </c>
      <c r="B304" s="3" t="s">
        <v>815</v>
      </c>
      <c r="C304" s="3" t="s">
        <v>816</v>
      </c>
      <c r="D304" s="3">
        <v>4</v>
      </c>
      <c r="E304" s="3" t="s">
        <v>1248</v>
      </c>
      <c r="F304" s="6" t="s">
        <v>1547</v>
      </c>
    </row>
    <row r="305" ht="64.5" customHeight="1" spans="1:6" x14ac:dyDescent="0.25">
      <c r="A305" s="3" t="s">
        <v>35</v>
      </c>
      <c r="B305" s="3" t="s">
        <v>815</v>
      </c>
      <c r="C305" s="3" t="s">
        <v>816</v>
      </c>
      <c r="D305" s="3">
        <v>5</v>
      </c>
      <c r="E305" s="3" t="s">
        <v>1250</v>
      </c>
      <c r="F305" s="6" t="s">
        <v>1548</v>
      </c>
    </row>
    <row r="306" ht="57.75" customHeight="1" spans="1:6" x14ac:dyDescent="0.25">
      <c r="A306" s="3" t="s">
        <v>35</v>
      </c>
      <c r="B306" s="3" t="s">
        <v>826</v>
      </c>
      <c r="C306" s="3" t="s">
        <v>827</v>
      </c>
      <c r="D306" s="3">
        <v>2</v>
      </c>
      <c r="E306" s="3" t="s">
        <v>1244</v>
      </c>
      <c r="F306" s="6" t="s">
        <v>1549</v>
      </c>
    </row>
    <row r="307" ht="57.75" customHeight="1" spans="1:6" x14ac:dyDescent="0.25">
      <c r="A307" s="3" t="s">
        <v>35</v>
      </c>
      <c r="B307" s="3" t="s">
        <v>826</v>
      </c>
      <c r="C307" s="3" t="s">
        <v>827</v>
      </c>
      <c r="D307" s="3">
        <v>3</v>
      </c>
      <c r="E307" s="3" t="s">
        <v>1246</v>
      </c>
      <c r="F307" s="6" t="s">
        <v>1550</v>
      </c>
    </row>
    <row r="308" ht="64.5" customHeight="1" spans="1:6" x14ac:dyDescent="0.25">
      <c r="A308" s="3" t="s">
        <v>35</v>
      </c>
      <c r="B308" s="3" t="s">
        <v>826</v>
      </c>
      <c r="C308" s="3" t="s">
        <v>827</v>
      </c>
      <c r="D308" s="3">
        <v>4</v>
      </c>
      <c r="E308" s="3" t="s">
        <v>1248</v>
      </c>
      <c r="F308" s="6" t="s">
        <v>1551</v>
      </c>
    </row>
    <row r="309" ht="64.5" customHeight="1" spans="1:6" x14ac:dyDescent="0.25">
      <c r="A309" s="3" t="s">
        <v>35</v>
      </c>
      <c r="B309" s="3" t="s">
        <v>826</v>
      </c>
      <c r="C309" s="3" t="s">
        <v>827</v>
      </c>
      <c r="D309" s="3">
        <v>5</v>
      </c>
      <c r="E309" s="3" t="s">
        <v>1250</v>
      </c>
      <c r="F309" s="6" t="s">
        <v>1552</v>
      </c>
    </row>
    <row r="310" ht="57.75" customHeight="1" spans="1:6" x14ac:dyDescent="0.25">
      <c r="A310" s="3" t="s">
        <v>35</v>
      </c>
      <c r="B310" s="3" t="s">
        <v>840</v>
      </c>
      <c r="C310" s="3" t="s">
        <v>841</v>
      </c>
      <c r="D310" s="3">
        <v>2</v>
      </c>
      <c r="E310" s="3" t="s">
        <v>1244</v>
      </c>
      <c r="F310" s="6" t="s">
        <v>1553</v>
      </c>
    </row>
    <row r="311" ht="57.75" customHeight="1" spans="1:6" x14ac:dyDescent="0.25">
      <c r="A311" s="3" t="s">
        <v>35</v>
      </c>
      <c r="B311" s="3" t="s">
        <v>840</v>
      </c>
      <c r="C311" s="3" t="s">
        <v>841</v>
      </c>
      <c r="D311" s="3">
        <v>3</v>
      </c>
      <c r="E311" s="3" t="s">
        <v>1246</v>
      </c>
      <c r="F311" s="6" t="s">
        <v>1554</v>
      </c>
    </row>
    <row r="312" ht="57.75" customHeight="1" spans="1:6" x14ac:dyDescent="0.25">
      <c r="A312" s="3" t="s">
        <v>35</v>
      </c>
      <c r="B312" s="3" t="s">
        <v>840</v>
      </c>
      <c r="C312" s="3" t="s">
        <v>841</v>
      </c>
      <c r="D312" s="3">
        <v>4</v>
      </c>
      <c r="E312" s="3" t="s">
        <v>1248</v>
      </c>
      <c r="F312" s="6" t="s">
        <v>1555</v>
      </c>
    </row>
    <row r="313" ht="64.5" customHeight="1" spans="1:6" x14ac:dyDescent="0.25">
      <c r="A313" s="3" t="s">
        <v>35</v>
      </c>
      <c r="B313" s="3" t="s">
        <v>840</v>
      </c>
      <c r="C313" s="3" t="s">
        <v>841</v>
      </c>
      <c r="D313" s="3">
        <v>5</v>
      </c>
      <c r="E313" s="3" t="s">
        <v>1250</v>
      </c>
      <c r="F313" s="6" t="s">
        <v>1556</v>
      </c>
    </row>
    <row r="314" ht="57.75" customHeight="1" spans="1:6" x14ac:dyDescent="0.25">
      <c r="A314" s="3" t="s">
        <v>35</v>
      </c>
      <c r="B314" s="3" t="s">
        <v>849</v>
      </c>
      <c r="C314" s="3" t="s">
        <v>850</v>
      </c>
      <c r="D314" s="3">
        <v>2</v>
      </c>
      <c r="E314" s="3" t="s">
        <v>1244</v>
      </c>
      <c r="F314" s="6" t="s">
        <v>1557</v>
      </c>
    </row>
    <row r="315" ht="57.75" customHeight="1" spans="1:6" x14ac:dyDescent="0.25">
      <c r="A315" s="3" t="s">
        <v>35</v>
      </c>
      <c r="B315" s="3" t="s">
        <v>849</v>
      </c>
      <c r="C315" s="3" t="s">
        <v>850</v>
      </c>
      <c r="D315" s="3">
        <v>3</v>
      </c>
      <c r="E315" s="3" t="s">
        <v>1246</v>
      </c>
      <c r="F315" s="6" t="s">
        <v>1558</v>
      </c>
    </row>
    <row r="316" ht="64.5" customHeight="1" spans="1:6" x14ac:dyDescent="0.25">
      <c r="A316" s="3" t="s">
        <v>35</v>
      </c>
      <c r="B316" s="3" t="s">
        <v>849</v>
      </c>
      <c r="C316" s="3" t="s">
        <v>850</v>
      </c>
      <c r="D316" s="3">
        <v>4</v>
      </c>
      <c r="E316" s="3" t="s">
        <v>1248</v>
      </c>
      <c r="F316" s="6" t="s">
        <v>1559</v>
      </c>
    </row>
    <row r="317" ht="64.5" customHeight="1" spans="1:6" x14ac:dyDescent="0.25">
      <c r="A317" s="3" t="s">
        <v>35</v>
      </c>
      <c r="B317" s="3" t="s">
        <v>849</v>
      </c>
      <c r="C317" s="3" t="s">
        <v>850</v>
      </c>
      <c r="D317" s="3">
        <v>5</v>
      </c>
      <c r="E317" s="3" t="s">
        <v>1250</v>
      </c>
      <c r="F317" s="6" t="s">
        <v>1560</v>
      </c>
    </row>
    <row r="318" ht="64.5" customHeight="1" spans="1:6" x14ac:dyDescent="0.25">
      <c r="A318" s="3" t="s">
        <v>35</v>
      </c>
      <c r="B318" s="3" t="s">
        <v>860</v>
      </c>
      <c r="C318" s="3" t="s">
        <v>861</v>
      </c>
      <c r="D318" s="3">
        <v>2</v>
      </c>
      <c r="E318" s="3" t="s">
        <v>1244</v>
      </c>
      <c r="F318" s="6" t="s">
        <v>1561</v>
      </c>
    </row>
    <row r="319" ht="79.5" customHeight="1" spans="1:6" x14ac:dyDescent="0.25">
      <c r="A319" s="3" t="s">
        <v>35</v>
      </c>
      <c r="B319" s="3" t="s">
        <v>860</v>
      </c>
      <c r="C319" s="3" t="s">
        <v>861</v>
      </c>
      <c r="D319" s="3">
        <v>3</v>
      </c>
      <c r="E319" s="3" t="s">
        <v>1246</v>
      </c>
      <c r="F319" s="6" t="s">
        <v>1562</v>
      </c>
    </row>
    <row r="320" ht="79.5" customHeight="1" spans="1:6" x14ac:dyDescent="0.25">
      <c r="A320" s="3" t="s">
        <v>35</v>
      </c>
      <c r="B320" s="3" t="s">
        <v>860</v>
      </c>
      <c r="C320" s="3" t="s">
        <v>861</v>
      </c>
      <c r="D320" s="3">
        <v>4</v>
      </c>
      <c r="E320" s="3" t="s">
        <v>1248</v>
      </c>
      <c r="F320" s="6" t="s">
        <v>1563</v>
      </c>
    </row>
    <row r="321" ht="79.5" customHeight="1" spans="1:6" x14ac:dyDescent="0.25">
      <c r="A321" s="3" t="s">
        <v>35</v>
      </c>
      <c r="B321" s="3" t="s">
        <v>860</v>
      </c>
      <c r="C321" s="3" t="s">
        <v>861</v>
      </c>
      <c r="D321" s="3">
        <v>5</v>
      </c>
      <c r="E321" s="3" t="s">
        <v>1250</v>
      </c>
      <c r="F321" s="6" t="s">
        <v>1564</v>
      </c>
    </row>
    <row r="322" ht="64.5" customHeight="1" spans="1:6" x14ac:dyDescent="0.25">
      <c r="A322" s="3" t="s">
        <v>35</v>
      </c>
      <c r="B322" s="3" t="s">
        <v>869</v>
      </c>
      <c r="C322" s="3" t="s">
        <v>870</v>
      </c>
      <c r="D322" s="3">
        <v>2</v>
      </c>
      <c r="E322" s="3" t="s">
        <v>1244</v>
      </c>
      <c r="F322" s="6" t="s">
        <v>1565</v>
      </c>
    </row>
    <row r="323" ht="79.5" customHeight="1" spans="1:6" x14ac:dyDescent="0.25">
      <c r="A323" s="3" t="s">
        <v>35</v>
      </c>
      <c r="B323" s="3" t="s">
        <v>869</v>
      </c>
      <c r="C323" s="3" t="s">
        <v>870</v>
      </c>
      <c r="D323" s="3">
        <v>3</v>
      </c>
      <c r="E323" s="3" t="s">
        <v>1246</v>
      </c>
      <c r="F323" s="6" t="s">
        <v>1566</v>
      </c>
    </row>
    <row r="324" ht="79.5" customHeight="1" spans="1:6" x14ac:dyDescent="0.25">
      <c r="A324" s="3" t="s">
        <v>35</v>
      </c>
      <c r="B324" s="3" t="s">
        <v>869</v>
      </c>
      <c r="C324" s="3" t="s">
        <v>870</v>
      </c>
      <c r="D324" s="3">
        <v>4</v>
      </c>
      <c r="E324" s="3" t="s">
        <v>1248</v>
      </c>
      <c r="F324" s="6" t="s">
        <v>1567</v>
      </c>
    </row>
    <row r="325" ht="79.5" customHeight="1" spans="1:6" x14ac:dyDescent="0.25">
      <c r="A325" s="3" t="s">
        <v>35</v>
      </c>
      <c r="B325" s="3" t="s">
        <v>869</v>
      </c>
      <c r="C325" s="3" t="s">
        <v>870</v>
      </c>
      <c r="D325" s="3">
        <v>5</v>
      </c>
      <c r="E325" s="3" t="s">
        <v>1250</v>
      </c>
      <c r="F325" s="6" t="s">
        <v>1568</v>
      </c>
    </row>
    <row r="326" ht="64.5" customHeight="1" spans="1:6" x14ac:dyDescent="0.25">
      <c r="A326" s="3" t="s">
        <v>35</v>
      </c>
      <c r="B326" s="3" t="s">
        <v>878</v>
      </c>
      <c r="C326" s="3" t="s">
        <v>879</v>
      </c>
      <c r="D326" s="3">
        <v>2</v>
      </c>
      <c r="E326" s="3" t="s">
        <v>1244</v>
      </c>
      <c r="F326" s="6" t="s">
        <v>1569</v>
      </c>
    </row>
    <row r="327" ht="64.5" customHeight="1" spans="1:6" x14ac:dyDescent="0.25">
      <c r="A327" s="3" t="s">
        <v>35</v>
      </c>
      <c r="B327" s="3" t="s">
        <v>878</v>
      </c>
      <c r="C327" s="3" t="s">
        <v>879</v>
      </c>
      <c r="D327" s="3">
        <v>3</v>
      </c>
      <c r="E327" s="3" t="s">
        <v>1246</v>
      </c>
      <c r="F327" s="6" t="s">
        <v>1570</v>
      </c>
    </row>
    <row r="328" ht="64.5" customHeight="1" spans="1:6" x14ac:dyDescent="0.25">
      <c r="A328" s="3" t="s">
        <v>35</v>
      </c>
      <c r="B328" s="3" t="s">
        <v>878</v>
      </c>
      <c r="C328" s="3" t="s">
        <v>879</v>
      </c>
      <c r="D328" s="3">
        <v>4</v>
      </c>
      <c r="E328" s="3" t="s">
        <v>1248</v>
      </c>
      <c r="F328" s="6" t="s">
        <v>1571</v>
      </c>
    </row>
    <row r="329" ht="79.5" customHeight="1" spans="1:6" x14ac:dyDescent="0.25">
      <c r="A329" s="3" t="s">
        <v>35</v>
      </c>
      <c r="B329" s="3" t="s">
        <v>878</v>
      </c>
      <c r="C329" s="3" t="s">
        <v>879</v>
      </c>
      <c r="D329" s="3">
        <v>5</v>
      </c>
      <c r="E329" s="3" t="s">
        <v>1250</v>
      </c>
      <c r="F329" s="6" t="s">
        <v>1572</v>
      </c>
    </row>
    <row r="330" ht="64.5" customHeight="1" spans="1:6" x14ac:dyDescent="0.25">
      <c r="A330" s="3" t="s">
        <v>35</v>
      </c>
      <c r="B330" s="3" t="s">
        <v>887</v>
      </c>
      <c r="C330" s="3" t="s">
        <v>888</v>
      </c>
      <c r="D330" s="3">
        <v>2</v>
      </c>
      <c r="E330" s="3" t="s">
        <v>1244</v>
      </c>
      <c r="F330" s="6" t="s">
        <v>1573</v>
      </c>
    </row>
    <row r="331" ht="64.5" customHeight="1" spans="1:6" x14ac:dyDescent="0.25">
      <c r="A331" s="3" t="s">
        <v>35</v>
      </c>
      <c r="B331" s="3" t="s">
        <v>887</v>
      </c>
      <c r="C331" s="3" t="s">
        <v>888</v>
      </c>
      <c r="D331" s="3">
        <v>3</v>
      </c>
      <c r="E331" s="3" t="s">
        <v>1246</v>
      </c>
      <c r="F331" s="6" t="s">
        <v>1574</v>
      </c>
    </row>
    <row r="332" ht="64.5" customHeight="1" spans="1:6" x14ac:dyDescent="0.25">
      <c r="A332" s="3" t="s">
        <v>35</v>
      </c>
      <c r="B332" s="3" t="s">
        <v>887</v>
      </c>
      <c r="C332" s="3" t="s">
        <v>888</v>
      </c>
      <c r="D332" s="3">
        <v>4</v>
      </c>
      <c r="E332" s="3" t="s">
        <v>1248</v>
      </c>
      <c r="F332" s="6" t="s">
        <v>1575</v>
      </c>
    </row>
    <row r="333" ht="79.5" customHeight="1" spans="1:6" x14ac:dyDescent="0.25">
      <c r="A333" s="3" t="s">
        <v>35</v>
      </c>
      <c r="B333" s="3" t="s">
        <v>887</v>
      </c>
      <c r="C333" s="3" t="s">
        <v>888</v>
      </c>
      <c r="D333" s="3">
        <v>5</v>
      </c>
      <c r="E333" s="3" t="s">
        <v>1250</v>
      </c>
      <c r="F333" s="6" t="s">
        <v>1576</v>
      </c>
    </row>
    <row r="334" ht="64.5" customHeight="1" spans="1:6" x14ac:dyDescent="0.25">
      <c r="A334" s="3" t="s">
        <v>35</v>
      </c>
      <c r="B334" s="3" t="s">
        <v>896</v>
      </c>
      <c r="C334" s="3" t="s">
        <v>897</v>
      </c>
      <c r="D334" s="3">
        <v>2</v>
      </c>
      <c r="E334" s="3" t="s">
        <v>1244</v>
      </c>
      <c r="F334" s="6" t="s">
        <v>1577</v>
      </c>
    </row>
    <row r="335" ht="64.5" customHeight="1" spans="1:6" x14ac:dyDescent="0.25">
      <c r="A335" s="3" t="s">
        <v>35</v>
      </c>
      <c r="B335" s="3" t="s">
        <v>896</v>
      </c>
      <c r="C335" s="3" t="s">
        <v>897</v>
      </c>
      <c r="D335" s="3">
        <v>3</v>
      </c>
      <c r="E335" s="3" t="s">
        <v>1246</v>
      </c>
      <c r="F335" s="6" t="s">
        <v>1578</v>
      </c>
    </row>
    <row r="336" ht="64.5" customHeight="1" spans="1:6" x14ac:dyDescent="0.25">
      <c r="A336" s="3" t="s">
        <v>35</v>
      </c>
      <c r="B336" s="3" t="s">
        <v>896</v>
      </c>
      <c r="C336" s="3" t="s">
        <v>897</v>
      </c>
      <c r="D336" s="3">
        <v>4</v>
      </c>
      <c r="E336" s="3" t="s">
        <v>1248</v>
      </c>
      <c r="F336" s="6" t="s">
        <v>1579</v>
      </c>
    </row>
    <row r="337" ht="64.5" customHeight="1" spans="1:6" x14ac:dyDescent="0.25">
      <c r="A337" s="3" t="s">
        <v>35</v>
      </c>
      <c r="B337" s="3" t="s">
        <v>896</v>
      </c>
      <c r="C337" s="3" t="s">
        <v>897</v>
      </c>
      <c r="D337" s="3">
        <v>5</v>
      </c>
      <c r="E337" s="3" t="s">
        <v>1250</v>
      </c>
      <c r="F337" s="6" t="s">
        <v>1580</v>
      </c>
    </row>
    <row r="338" ht="79.5" customHeight="1" spans="1:6" x14ac:dyDescent="0.25">
      <c r="A338" s="3" t="s">
        <v>35</v>
      </c>
      <c r="B338" s="3" t="s">
        <v>905</v>
      </c>
      <c r="C338" s="3" t="s">
        <v>906</v>
      </c>
      <c r="D338" s="3">
        <v>2</v>
      </c>
      <c r="E338" s="3" t="s">
        <v>1244</v>
      </c>
      <c r="F338" s="6" t="s">
        <v>1581</v>
      </c>
    </row>
    <row r="339" ht="79.5" customHeight="1" spans="1:6" x14ac:dyDescent="0.25">
      <c r="A339" s="3" t="s">
        <v>35</v>
      </c>
      <c r="B339" s="3" t="s">
        <v>905</v>
      </c>
      <c r="C339" s="3" t="s">
        <v>906</v>
      </c>
      <c r="D339" s="3">
        <v>3</v>
      </c>
      <c r="E339" s="3" t="s">
        <v>1246</v>
      </c>
      <c r="F339" s="6" t="s">
        <v>1582</v>
      </c>
    </row>
    <row r="340" ht="79.5" customHeight="1" spans="1:6" x14ac:dyDescent="0.25">
      <c r="A340" s="3" t="s">
        <v>35</v>
      </c>
      <c r="B340" s="3" t="s">
        <v>905</v>
      </c>
      <c r="C340" s="3" t="s">
        <v>906</v>
      </c>
      <c r="D340" s="3">
        <v>4</v>
      </c>
      <c r="E340" s="3" t="s">
        <v>1248</v>
      </c>
      <c r="F340" s="6" t="s">
        <v>1583</v>
      </c>
    </row>
    <row r="341" ht="79.5" customHeight="1" spans="1:6" x14ac:dyDescent="0.25">
      <c r="A341" s="3" t="s">
        <v>35</v>
      </c>
      <c r="B341" s="3" t="s">
        <v>905</v>
      </c>
      <c r="C341" s="3" t="s">
        <v>906</v>
      </c>
      <c r="D341" s="3">
        <v>5</v>
      </c>
      <c r="E341" s="3" t="s">
        <v>1250</v>
      </c>
      <c r="F341" s="6" t="s">
        <v>1584</v>
      </c>
    </row>
    <row r="342" ht="64.5" customHeight="1" spans="1:6" x14ac:dyDescent="0.25">
      <c r="A342" s="3" t="s">
        <v>35</v>
      </c>
      <c r="B342" s="3" t="s">
        <v>914</v>
      </c>
      <c r="C342" s="3" t="s">
        <v>915</v>
      </c>
      <c r="D342" s="3">
        <v>2</v>
      </c>
      <c r="E342" s="3" t="s">
        <v>1244</v>
      </c>
      <c r="F342" s="6" t="s">
        <v>1585</v>
      </c>
    </row>
    <row r="343" ht="79.5" customHeight="1" spans="1:6" x14ac:dyDescent="0.25">
      <c r="A343" s="3" t="s">
        <v>35</v>
      </c>
      <c r="B343" s="3" t="s">
        <v>914</v>
      </c>
      <c r="C343" s="3" t="s">
        <v>915</v>
      </c>
      <c r="D343" s="3">
        <v>3</v>
      </c>
      <c r="E343" s="3" t="s">
        <v>1246</v>
      </c>
      <c r="F343" s="6" t="s">
        <v>1586</v>
      </c>
    </row>
    <row r="344" ht="79.5" customHeight="1" spans="1:6" x14ac:dyDescent="0.25">
      <c r="A344" s="3" t="s">
        <v>35</v>
      </c>
      <c r="B344" s="3" t="s">
        <v>914</v>
      </c>
      <c r="C344" s="3" t="s">
        <v>915</v>
      </c>
      <c r="D344" s="3">
        <v>4</v>
      </c>
      <c r="E344" s="3" t="s">
        <v>1248</v>
      </c>
      <c r="F344" s="6" t="s">
        <v>1587</v>
      </c>
    </row>
    <row r="345" ht="94.5" customHeight="1" spans="1:6" x14ac:dyDescent="0.25">
      <c r="A345" s="3" t="s">
        <v>35</v>
      </c>
      <c r="B345" s="3" t="s">
        <v>914</v>
      </c>
      <c r="C345" s="3" t="s">
        <v>915</v>
      </c>
      <c r="D345" s="3">
        <v>5</v>
      </c>
      <c r="E345" s="3" t="s">
        <v>1250</v>
      </c>
      <c r="F345" s="6" t="s">
        <v>1588</v>
      </c>
    </row>
    <row r="346" ht="64.5" customHeight="1" spans="1:6" x14ac:dyDescent="0.25">
      <c r="A346" s="3" t="s">
        <v>35</v>
      </c>
      <c r="B346" s="3" t="s">
        <v>923</v>
      </c>
      <c r="C346" s="3" t="s">
        <v>924</v>
      </c>
      <c r="D346" s="3">
        <v>2</v>
      </c>
      <c r="E346" s="3" t="s">
        <v>1244</v>
      </c>
      <c r="F346" s="6" t="s">
        <v>1589</v>
      </c>
    </row>
    <row r="347" ht="64.5" customHeight="1" spans="1:6" x14ac:dyDescent="0.25">
      <c r="A347" s="3" t="s">
        <v>35</v>
      </c>
      <c r="B347" s="3" t="s">
        <v>923</v>
      </c>
      <c r="C347" s="3" t="s">
        <v>924</v>
      </c>
      <c r="D347" s="3">
        <v>3</v>
      </c>
      <c r="E347" s="3" t="s">
        <v>1246</v>
      </c>
      <c r="F347" s="6" t="s">
        <v>1590</v>
      </c>
    </row>
    <row r="348" ht="64.5" customHeight="1" spans="1:6" x14ac:dyDescent="0.25">
      <c r="A348" s="3" t="s">
        <v>35</v>
      </c>
      <c r="B348" s="3" t="s">
        <v>923</v>
      </c>
      <c r="C348" s="3" t="s">
        <v>924</v>
      </c>
      <c r="D348" s="3">
        <v>4</v>
      </c>
      <c r="E348" s="3" t="s">
        <v>1248</v>
      </c>
      <c r="F348" s="6" t="s">
        <v>1591</v>
      </c>
    </row>
    <row r="349" ht="79.5" customHeight="1" spans="1:6" x14ac:dyDescent="0.25">
      <c r="A349" s="3" t="s">
        <v>35</v>
      </c>
      <c r="B349" s="3" t="s">
        <v>923</v>
      </c>
      <c r="C349" s="3" t="s">
        <v>924</v>
      </c>
      <c r="D349" s="3">
        <v>5</v>
      </c>
      <c r="E349" s="3" t="s">
        <v>1250</v>
      </c>
      <c r="F349" s="6" t="s">
        <v>1592</v>
      </c>
    </row>
    <row r="350" ht="64.5" customHeight="1" spans="1:6" x14ac:dyDescent="0.25">
      <c r="A350" s="3" t="s">
        <v>35</v>
      </c>
      <c r="B350" s="3" t="s">
        <v>932</v>
      </c>
      <c r="C350" s="3" t="s">
        <v>933</v>
      </c>
      <c r="D350" s="3">
        <v>2</v>
      </c>
      <c r="E350" s="3" t="s">
        <v>1244</v>
      </c>
      <c r="F350" s="6" t="s">
        <v>1593</v>
      </c>
    </row>
    <row r="351" ht="64.5" customHeight="1" spans="1:6" x14ac:dyDescent="0.25">
      <c r="A351" s="3" t="s">
        <v>35</v>
      </c>
      <c r="B351" s="3" t="s">
        <v>932</v>
      </c>
      <c r="C351" s="3" t="s">
        <v>933</v>
      </c>
      <c r="D351" s="3">
        <v>3</v>
      </c>
      <c r="E351" s="3" t="s">
        <v>1246</v>
      </c>
      <c r="F351" s="6" t="s">
        <v>1594</v>
      </c>
    </row>
    <row r="352" ht="64.5" customHeight="1" spans="1:6" x14ac:dyDescent="0.25">
      <c r="A352" s="3" t="s">
        <v>35</v>
      </c>
      <c r="B352" s="3" t="s">
        <v>932</v>
      </c>
      <c r="C352" s="3" t="s">
        <v>933</v>
      </c>
      <c r="D352" s="3">
        <v>4</v>
      </c>
      <c r="E352" s="3" t="s">
        <v>1248</v>
      </c>
      <c r="F352" s="6" t="s">
        <v>1595</v>
      </c>
    </row>
    <row r="353" ht="64.5" customHeight="1" spans="1:6" x14ac:dyDescent="0.25">
      <c r="A353" s="3" t="s">
        <v>35</v>
      </c>
      <c r="B353" s="3" t="s">
        <v>932</v>
      </c>
      <c r="C353" s="3" t="s">
        <v>933</v>
      </c>
      <c r="D353" s="3">
        <v>5</v>
      </c>
      <c r="E353" s="3" t="s">
        <v>1250</v>
      </c>
      <c r="F353" s="6" t="s">
        <v>1596</v>
      </c>
    </row>
    <row r="354" ht="64.5" customHeight="1" spans="1:6" x14ac:dyDescent="0.25">
      <c r="A354" s="3" t="s">
        <v>35</v>
      </c>
      <c r="B354" s="3" t="s">
        <v>943</v>
      </c>
      <c r="C354" s="3" t="s">
        <v>944</v>
      </c>
      <c r="D354" s="3">
        <v>2</v>
      </c>
      <c r="E354" s="3" t="s">
        <v>1244</v>
      </c>
      <c r="F354" s="6" t="s">
        <v>1597</v>
      </c>
    </row>
    <row r="355" ht="64.5" customHeight="1" spans="1:6" x14ac:dyDescent="0.25">
      <c r="A355" s="3" t="s">
        <v>35</v>
      </c>
      <c r="B355" s="3" t="s">
        <v>943</v>
      </c>
      <c r="C355" s="3" t="s">
        <v>944</v>
      </c>
      <c r="D355" s="3">
        <v>3</v>
      </c>
      <c r="E355" s="3" t="s">
        <v>1246</v>
      </c>
      <c r="F355" s="6" t="s">
        <v>1598</v>
      </c>
    </row>
    <row r="356" ht="94.5" customHeight="1" spans="1:6" x14ac:dyDescent="0.25">
      <c r="A356" s="3" t="s">
        <v>35</v>
      </c>
      <c r="B356" s="3" t="s">
        <v>943</v>
      </c>
      <c r="C356" s="3" t="s">
        <v>944</v>
      </c>
      <c r="D356" s="3">
        <v>4</v>
      </c>
      <c r="E356" s="3" t="s">
        <v>1248</v>
      </c>
      <c r="F356" s="6" t="s">
        <v>1599</v>
      </c>
    </row>
    <row r="357" ht="94.5" customHeight="1" spans="1:6" x14ac:dyDescent="0.25">
      <c r="A357" s="3" t="s">
        <v>35</v>
      </c>
      <c r="B357" s="3" t="s">
        <v>943</v>
      </c>
      <c r="C357" s="3" t="s">
        <v>944</v>
      </c>
      <c r="D357" s="3">
        <v>5</v>
      </c>
      <c r="E357" s="3" t="s">
        <v>1250</v>
      </c>
      <c r="F357" s="6" t="s">
        <v>1600</v>
      </c>
    </row>
    <row r="358" ht="57.75" customHeight="1" spans="1:6" x14ac:dyDescent="0.25">
      <c r="A358" s="3" t="s">
        <v>35</v>
      </c>
      <c r="B358" s="3" t="s">
        <v>952</v>
      </c>
      <c r="C358" s="3" t="s">
        <v>953</v>
      </c>
      <c r="D358" s="3">
        <v>2</v>
      </c>
      <c r="E358" s="3" t="s">
        <v>1244</v>
      </c>
      <c r="F358" s="6" t="s">
        <v>1601</v>
      </c>
    </row>
    <row r="359" ht="64.5" customHeight="1" spans="1:6" x14ac:dyDescent="0.25">
      <c r="A359" s="3" t="s">
        <v>35</v>
      </c>
      <c r="B359" s="3" t="s">
        <v>952</v>
      </c>
      <c r="C359" s="3" t="s">
        <v>953</v>
      </c>
      <c r="D359" s="3">
        <v>3</v>
      </c>
      <c r="E359" s="3" t="s">
        <v>1246</v>
      </c>
      <c r="F359" s="6" t="s">
        <v>1602</v>
      </c>
    </row>
    <row r="360" ht="64.5" customHeight="1" spans="1:6" x14ac:dyDescent="0.25">
      <c r="A360" s="3" t="s">
        <v>35</v>
      </c>
      <c r="B360" s="3" t="s">
        <v>952</v>
      </c>
      <c r="C360" s="3" t="s">
        <v>953</v>
      </c>
      <c r="D360" s="3">
        <v>4</v>
      </c>
      <c r="E360" s="3" t="s">
        <v>1248</v>
      </c>
      <c r="F360" s="6" t="s">
        <v>1603</v>
      </c>
    </row>
    <row r="361" ht="64.5" customHeight="1" spans="1:6" x14ac:dyDescent="0.25">
      <c r="A361" s="3" t="s">
        <v>35</v>
      </c>
      <c r="B361" s="3" t="s">
        <v>952</v>
      </c>
      <c r="C361" s="3" t="s">
        <v>953</v>
      </c>
      <c r="D361" s="3">
        <v>5</v>
      </c>
      <c r="E361" s="3" t="s">
        <v>1250</v>
      </c>
      <c r="F361" s="6" t="s">
        <v>1604</v>
      </c>
    </row>
    <row r="362" ht="64.5" customHeight="1" spans="1:6" x14ac:dyDescent="0.25">
      <c r="A362" s="3" t="s">
        <v>35</v>
      </c>
      <c r="B362" s="3" t="s">
        <v>961</v>
      </c>
      <c r="C362" s="3" t="s">
        <v>962</v>
      </c>
      <c r="D362" s="3">
        <v>2</v>
      </c>
      <c r="E362" s="3" t="s">
        <v>1244</v>
      </c>
      <c r="F362" s="6" t="s">
        <v>1605</v>
      </c>
    </row>
    <row r="363" ht="64.5" customHeight="1" spans="1:6" x14ac:dyDescent="0.25">
      <c r="A363" s="3" t="s">
        <v>35</v>
      </c>
      <c r="B363" s="3" t="s">
        <v>961</v>
      </c>
      <c r="C363" s="3" t="s">
        <v>962</v>
      </c>
      <c r="D363" s="3">
        <v>3</v>
      </c>
      <c r="E363" s="3" t="s">
        <v>1246</v>
      </c>
      <c r="F363" s="6" t="s">
        <v>1606</v>
      </c>
    </row>
    <row r="364" ht="64.5" customHeight="1" spans="1:6" x14ac:dyDescent="0.25">
      <c r="A364" s="3" t="s">
        <v>35</v>
      </c>
      <c r="B364" s="3" t="s">
        <v>961</v>
      </c>
      <c r="C364" s="3" t="s">
        <v>962</v>
      </c>
      <c r="D364" s="3">
        <v>4</v>
      </c>
      <c r="E364" s="3" t="s">
        <v>1248</v>
      </c>
      <c r="F364" s="6" t="s">
        <v>1607</v>
      </c>
    </row>
    <row r="365" ht="64.5" customHeight="1" spans="1:6" x14ac:dyDescent="0.25">
      <c r="A365" s="3" t="s">
        <v>35</v>
      </c>
      <c r="B365" s="3" t="s">
        <v>961</v>
      </c>
      <c r="C365" s="3" t="s">
        <v>962</v>
      </c>
      <c r="D365" s="3">
        <v>5</v>
      </c>
      <c r="E365" s="3" t="s">
        <v>1250</v>
      </c>
      <c r="F365" s="6" t="s">
        <v>1608</v>
      </c>
    </row>
    <row r="366" ht="57.75" customHeight="1" spans="1:6" x14ac:dyDescent="0.25">
      <c r="A366" s="3" t="s">
        <v>35</v>
      </c>
      <c r="B366" s="3" t="s">
        <v>970</v>
      </c>
      <c r="C366" s="3" t="s">
        <v>971</v>
      </c>
      <c r="D366" s="3">
        <v>2</v>
      </c>
      <c r="E366" s="3" t="s">
        <v>1244</v>
      </c>
      <c r="F366" s="6" t="s">
        <v>1609</v>
      </c>
    </row>
    <row r="367" ht="57.75" customHeight="1" spans="1:6" x14ac:dyDescent="0.25">
      <c r="A367" s="3" t="s">
        <v>35</v>
      </c>
      <c r="B367" s="3" t="s">
        <v>970</v>
      </c>
      <c r="C367" s="3" t="s">
        <v>971</v>
      </c>
      <c r="D367" s="3">
        <v>3</v>
      </c>
      <c r="E367" s="3" t="s">
        <v>1246</v>
      </c>
      <c r="F367" s="6" t="s">
        <v>1610</v>
      </c>
    </row>
    <row r="368" ht="64.5" customHeight="1" spans="1:6" x14ac:dyDescent="0.25">
      <c r="A368" s="3" t="s">
        <v>35</v>
      </c>
      <c r="B368" s="3" t="s">
        <v>970</v>
      </c>
      <c r="C368" s="3" t="s">
        <v>971</v>
      </c>
      <c r="D368" s="3">
        <v>4</v>
      </c>
      <c r="E368" s="3" t="s">
        <v>1248</v>
      </c>
      <c r="F368" s="6" t="s">
        <v>1611</v>
      </c>
    </row>
    <row r="369" ht="64.5" customHeight="1" spans="1:6" x14ac:dyDescent="0.25">
      <c r="A369" s="3" t="s">
        <v>35</v>
      </c>
      <c r="B369" s="3" t="s">
        <v>970</v>
      </c>
      <c r="C369" s="3" t="s">
        <v>971</v>
      </c>
      <c r="D369" s="3">
        <v>5</v>
      </c>
      <c r="E369" s="3" t="s">
        <v>1250</v>
      </c>
      <c r="F369" s="6" t="s">
        <v>1612</v>
      </c>
    </row>
    <row r="370" ht="64.5" customHeight="1" spans="1:6" x14ac:dyDescent="0.25">
      <c r="A370" s="3" t="s">
        <v>35</v>
      </c>
      <c r="B370" s="3" t="s">
        <v>979</v>
      </c>
      <c r="C370" s="3" t="s">
        <v>980</v>
      </c>
      <c r="D370" s="3">
        <v>2</v>
      </c>
      <c r="E370" s="3" t="s">
        <v>1244</v>
      </c>
      <c r="F370" s="6" t="s">
        <v>1613</v>
      </c>
    </row>
    <row r="371" ht="94.5" customHeight="1" spans="1:6" x14ac:dyDescent="0.25">
      <c r="A371" s="3" t="s">
        <v>35</v>
      </c>
      <c r="B371" s="3" t="s">
        <v>979</v>
      </c>
      <c r="C371" s="3" t="s">
        <v>980</v>
      </c>
      <c r="D371" s="3">
        <v>3</v>
      </c>
      <c r="E371" s="3" t="s">
        <v>1246</v>
      </c>
      <c r="F371" s="6" t="s">
        <v>1614</v>
      </c>
    </row>
    <row r="372" ht="94.5" customHeight="1" spans="1:6" x14ac:dyDescent="0.25">
      <c r="A372" s="3" t="s">
        <v>35</v>
      </c>
      <c r="B372" s="3" t="s">
        <v>979</v>
      </c>
      <c r="C372" s="3" t="s">
        <v>980</v>
      </c>
      <c r="D372" s="3">
        <v>4</v>
      </c>
      <c r="E372" s="3" t="s">
        <v>1248</v>
      </c>
      <c r="F372" s="6" t="s">
        <v>1615</v>
      </c>
    </row>
    <row r="373" ht="94.5" customHeight="1" spans="1:6" x14ac:dyDescent="0.25">
      <c r="A373" s="3" t="s">
        <v>35</v>
      </c>
      <c r="B373" s="3" t="s">
        <v>979</v>
      </c>
      <c r="C373" s="3" t="s">
        <v>980</v>
      </c>
      <c r="D373" s="3">
        <v>5</v>
      </c>
      <c r="E373" s="3" t="s">
        <v>1250</v>
      </c>
      <c r="F373" s="6" t="s">
        <v>1616</v>
      </c>
    </row>
    <row r="374" ht="64.5" customHeight="1" spans="1:6" x14ac:dyDescent="0.25">
      <c r="A374" s="3" t="s">
        <v>35</v>
      </c>
      <c r="B374" s="3" t="s">
        <v>988</v>
      </c>
      <c r="C374" s="3" t="s">
        <v>989</v>
      </c>
      <c r="D374" s="3">
        <v>2</v>
      </c>
      <c r="E374" s="3" t="s">
        <v>1244</v>
      </c>
      <c r="F374" s="6" t="s">
        <v>1617</v>
      </c>
    </row>
    <row r="375" ht="94.5" customHeight="1" spans="1:6" x14ac:dyDescent="0.25">
      <c r="A375" s="3" t="s">
        <v>35</v>
      </c>
      <c r="B375" s="3" t="s">
        <v>988</v>
      </c>
      <c r="C375" s="3" t="s">
        <v>989</v>
      </c>
      <c r="D375" s="3">
        <v>3</v>
      </c>
      <c r="E375" s="3" t="s">
        <v>1246</v>
      </c>
      <c r="F375" s="6" t="s">
        <v>1618</v>
      </c>
    </row>
    <row r="376" ht="94.5" customHeight="1" spans="1:6" x14ac:dyDescent="0.25">
      <c r="A376" s="3" t="s">
        <v>35</v>
      </c>
      <c r="B376" s="3" t="s">
        <v>988</v>
      </c>
      <c r="C376" s="3" t="s">
        <v>989</v>
      </c>
      <c r="D376" s="3">
        <v>4</v>
      </c>
      <c r="E376" s="3" t="s">
        <v>1248</v>
      </c>
      <c r="F376" s="6" t="s">
        <v>1619</v>
      </c>
    </row>
    <row r="377" ht="109.5" customHeight="1" spans="1:6" x14ac:dyDescent="0.25">
      <c r="A377" s="3" t="s">
        <v>35</v>
      </c>
      <c r="B377" s="3" t="s">
        <v>988</v>
      </c>
      <c r="C377" s="3" t="s">
        <v>989</v>
      </c>
      <c r="D377" s="3">
        <v>5</v>
      </c>
      <c r="E377" s="3" t="s">
        <v>1250</v>
      </c>
      <c r="F377" s="6" t="s">
        <v>1620</v>
      </c>
    </row>
    <row r="378" ht="64.5" customHeight="1" spans="1:6" x14ac:dyDescent="0.25">
      <c r="A378" s="3" t="s">
        <v>35</v>
      </c>
      <c r="B378" s="3" t="s">
        <v>997</v>
      </c>
      <c r="C378" s="3" t="s">
        <v>998</v>
      </c>
      <c r="D378" s="3">
        <v>2</v>
      </c>
      <c r="E378" s="3" t="s">
        <v>1244</v>
      </c>
      <c r="F378" s="6" t="s">
        <v>1621</v>
      </c>
    </row>
    <row r="379" ht="94.5" customHeight="1" spans="1:6" x14ac:dyDescent="0.25">
      <c r="A379" s="3" t="s">
        <v>35</v>
      </c>
      <c r="B379" s="3" t="s">
        <v>997</v>
      </c>
      <c r="C379" s="3" t="s">
        <v>998</v>
      </c>
      <c r="D379" s="3">
        <v>3</v>
      </c>
      <c r="E379" s="3" t="s">
        <v>1246</v>
      </c>
      <c r="F379" s="6" t="s">
        <v>1622</v>
      </c>
    </row>
    <row r="380" ht="94.5" customHeight="1" spans="1:6" x14ac:dyDescent="0.25">
      <c r="A380" s="3" t="s">
        <v>35</v>
      </c>
      <c r="B380" s="3" t="s">
        <v>997</v>
      </c>
      <c r="C380" s="3" t="s">
        <v>998</v>
      </c>
      <c r="D380" s="3">
        <v>4</v>
      </c>
      <c r="E380" s="3" t="s">
        <v>1248</v>
      </c>
      <c r="F380" s="6" t="s">
        <v>1623</v>
      </c>
    </row>
    <row r="381" ht="79.5" customHeight="1" spans="1:6" x14ac:dyDescent="0.25">
      <c r="A381" s="3" t="s">
        <v>35</v>
      </c>
      <c r="B381" s="3" t="s">
        <v>997</v>
      </c>
      <c r="C381" s="3" t="s">
        <v>998</v>
      </c>
      <c r="D381" s="3">
        <v>5</v>
      </c>
      <c r="E381" s="3" t="s">
        <v>1250</v>
      </c>
      <c r="F381" s="6" t="s">
        <v>1624</v>
      </c>
    </row>
    <row r="382" ht="79.5" customHeight="1" spans="1:6" x14ac:dyDescent="0.25">
      <c r="A382" s="3" t="s">
        <v>35</v>
      </c>
      <c r="B382" s="3" t="s">
        <v>1006</v>
      </c>
      <c r="C382" s="3" t="s">
        <v>1007</v>
      </c>
      <c r="D382" s="3">
        <v>2</v>
      </c>
      <c r="E382" s="3" t="s">
        <v>1244</v>
      </c>
      <c r="F382" s="6" t="s">
        <v>1625</v>
      </c>
    </row>
    <row r="383" ht="64.5" customHeight="1" spans="1:6" x14ac:dyDescent="0.25">
      <c r="A383" s="3" t="s">
        <v>35</v>
      </c>
      <c r="B383" s="3" t="s">
        <v>1006</v>
      </c>
      <c r="C383" s="3" t="s">
        <v>1007</v>
      </c>
      <c r="D383" s="3">
        <v>3</v>
      </c>
      <c r="E383" s="3" t="s">
        <v>1246</v>
      </c>
      <c r="F383" s="6" t="s">
        <v>1626</v>
      </c>
    </row>
    <row r="384" ht="79.5" customHeight="1" spans="1:6" x14ac:dyDescent="0.25">
      <c r="A384" s="3" t="s">
        <v>35</v>
      </c>
      <c r="B384" s="3" t="s">
        <v>1006</v>
      </c>
      <c r="C384" s="3" t="s">
        <v>1007</v>
      </c>
      <c r="D384" s="3">
        <v>4</v>
      </c>
      <c r="E384" s="3" t="s">
        <v>1248</v>
      </c>
      <c r="F384" s="6" t="s">
        <v>1627</v>
      </c>
    </row>
    <row r="385" ht="64.5" customHeight="1" spans="1:6" x14ac:dyDescent="0.25">
      <c r="A385" s="3" t="s">
        <v>35</v>
      </c>
      <c r="B385" s="3" t="s">
        <v>1006</v>
      </c>
      <c r="C385" s="3" t="s">
        <v>1007</v>
      </c>
      <c r="D385" s="3">
        <v>5</v>
      </c>
      <c r="E385" s="3" t="s">
        <v>1250</v>
      </c>
      <c r="F385" s="6" t="s">
        <v>1628</v>
      </c>
    </row>
    <row r="386" ht="57.75" customHeight="1" spans="1:6" x14ac:dyDescent="0.25">
      <c r="A386" s="3" t="s">
        <v>35</v>
      </c>
      <c r="B386" s="3" t="s">
        <v>1017</v>
      </c>
      <c r="C386" s="3" t="s">
        <v>1018</v>
      </c>
      <c r="D386" s="3">
        <v>2</v>
      </c>
      <c r="E386" s="3" t="s">
        <v>1244</v>
      </c>
      <c r="F386" s="6" t="s">
        <v>1629</v>
      </c>
    </row>
    <row r="387" ht="94.5" customHeight="1" spans="1:6" x14ac:dyDescent="0.25">
      <c r="A387" s="3" t="s">
        <v>35</v>
      </c>
      <c r="B387" s="3" t="s">
        <v>1017</v>
      </c>
      <c r="C387" s="3" t="s">
        <v>1018</v>
      </c>
      <c r="D387" s="3">
        <v>3</v>
      </c>
      <c r="E387" s="3" t="s">
        <v>1246</v>
      </c>
      <c r="F387" s="6" t="s">
        <v>1630</v>
      </c>
    </row>
    <row r="388" ht="79.5" customHeight="1" spans="1:6" x14ac:dyDescent="0.25">
      <c r="A388" s="3" t="s">
        <v>35</v>
      </c>
      <c r="B388" s="3" t="s">
        <v>1017</v>
      </c>
      <c r="C388" s="3" t="s">
        <v>1018</v>
      </c>
      <c r="D388" s="3">
        <v>4</v>
      </c>
      <c r="E388" s="3" t="s">
        <v>1248</v>
      </c>
      <c r="F388" s="6" t="s">
        <v>1631</v>
      </c>
    </row>
    <row r="389" ht="79.5" customHeight="1" spans="1:6" x14ac:dyDescent="0.25">
      <c r="A389" s="3" t="s">
        <v>35</v>
      </c>
      <c r="B389" s="3" t="s">
        <v>1017</v>
      </c>
      <c r="C389" s="3" t="s">
        <v>1018</v>
      </c>
      <c r="D389" s="3">
        <v>5</v>
      </c>
      <c r="E389" s="3" t="s">
        <v>1250</v>
      </c>
      <c r="F389" s="6" t="s">
        <v>1632</v>
      </c>
    </row>
    <row r="390" ht="57.75" customHeight="1" spans="1:6" x14ac:dyDescent="0.25">
      <c r="A390" s="3" t="s">
        <v>35</v>
      </c>
      <c r="B390" s="3" t="s">
        <v>1027</v>
      </c>
      <c r="C390" s="3" t="s">
        <v>1028</v>
      </c>
      <c r="D390" s="3">
        <v>2</v>
      </c>
      <c r="E390" s="3" t="s">
        <v>1244</v>
      </c>
      <c r="F390" s="6" t="s">
        <v>1633</v>
      </c>
    </row>
    <row r="391" ht="64.5" customHeight="1" spans="1:6" x14ac:dyDescent="0.25">
      <c r="A391" s="3" t="s">
        <v>35</v>
      </c>
      <c r="B391" s="3" t="s">
        <v>1027</v>
      </c>
      <c r="C391" s="3" t="s">
        <v>1028</v>
      </c>
      <c r="D391" s="3">
        <v>3</v>
      </c>
      <c r="E391" s="3" t="s">
        <v>1246</v>
      </c>
      <c r="F391" s="6" t="s">
        <v>1634</v>
      </c>
    </row>
    <row r="392" ht="64.5" customHeight="1" spans="1:6" x14ac:dyDescent="0.25">
      <c r="A392" s="3" t="s">
        <v>35</v>
      </c>
      <c r="B392" s="3" t="s">
        <v>1027</v>
      </c>
      <c r="C392" s="3" t="s">
        <v>1028</v>
      </c>
      <c r="D392" s="3">
        <v>4</v>
      </c>
      <c r="E392" s="3" t="s">
        <v>1248</v>
      </c>
      <c r="F392" s="6" t="s">
        <v>1635</v>
      </c>
    </row>
    <row r="393" ht="64.5" customHeight="1" spans="1:6" x14ac:dyDescent="0.25">
      <c r="A393" s="3" t="s">
        <v>35</v>
      </c>
      <c r="B393" s="3" t="s">
        <v>1027</v>
      </c>
      <c r="C393" s="3" t="s">
        <v>1028</v>
      </c>
      <c r="D393" s="3">
        <v>5</v>
      </c>
      <c r="E393" s="3" t="s">
        <v>1250</v>
      </c>
      <c r="F393" s="6" t="s">
        <v>1636</v>
      </c>
    </row>
    <row r="394" ht="57.75" customHeight="1" spans="1:6" x14ac:dyDescent="0.25">
      <c r="A394" s="3" t="s">
        <v>35</v>
      </c>
      <c r="B394" s="3" t="s">
        <v>1036</v>
      </c>
      <c r="C394" s="3" t="s">
        <v>1037</v>
      </c>
      <c r="D394" s="3">
        <v>2</v>
      </c>
      <c r="E394" s="3" t="s">
        <v>1244</v>
      </c>
      <c r="F394" s="6" t="s">
        <v>1637</v>
      </c>
    </row>
    <row r="395" ht="57.75" customHeight="1" spans="1:6" x14ac:dyDescent="0.25">
      <c r="A395" s="3" t="s">
        <v>35</v>
      </c>
      <c r="B395" s="3" t="s">
        <v>1036</v>
      </c>
      <c r="C395" s="3" t="s">
        <v>1037</v>
      </c>
      <c r="D395" s="3">
        <v>3</v>
      </c>
      <c r="E395" s="3" t="s">
        <v>1246</v>
      </c>
      <c r="F395" s="6" t="s">
        <v>1638</v>
      </c>
    </row>
    <row r="396" ht="57.75" customHeight="1" spans="1:6" x14ac:dyDescent="0.25">
      <c r="A396" s="3" t="s">
        <v>35</v>
      </c>
      <c r="B396" s="3" t="s">
        <v>1036</v>
      </c>
      <c r="C396" s="3" t="s">
        <v>1037</v>
      </c>
      <c r="D396" s="3">
        <v>4</v>
      </c>
      <c r="E396" s="3" t="s">
        <v>1248</v>
      </c>
      <c r="F396" s="6" t="s">
        <v>1639</v>
      </c>
    </row>
    <row r="397" ht="57.75" customHeight="1" spans="1:6" x14ac:dyDescent="0.25">
      <c r="A397" s="3" t="s">
        <v>35</v>
      </c>
      <c r="B397" s="3" t="s">
        <v>1036</v>
      </c>
      <c r="C397" s="3" t="s">
        <v>1037</v>
      </c>
      <c r="D397" s="3">
        <v>5</v>
      </c>
      <c r="E397" s="3" t="s">
        <v>1250</v>
      </c>
      <c r="F397" s="6" t="s">
        <v>1640</v>
      </c>
    </row>
    <row r="398" ht="57.75" customHeight="1" spans="1:6" x14ac:dyDescent="0.25">
      <c r="A398" s="3" t="s">
        <v>35</v>
      </c>
      <c r="B398" s="3" t="s">
        <v>1048</v>
      </c>
      <c r="C398" s="3" t="s">
        <v>1049</v>
      </c>
      <c r="D398" s="3">
        <v>2</v>
      </c>
      <c r="E398" s="3" t="s">
        <v>1244</v>
      </c>
      <c r="F398" s="6" t="s">
        <v>1641</v>
      </c>
    </row>
    <row r="399" ht="57.75" customHeight="1" spans="1:6" x14ac:dyDescent="0.25">
      <c r="A399" s="3" t="s">
        <v>35</v>
      </c>
      <c r="B399" s="3" t="s">
        <v>1048</v>
      </c>
      <c r="C399" s="3" t="s">
        <v>1049</v>
      </c>
      <c r="D399" s="3">
        <v>3</v>
      </c>
      <c r="E399" s="3" t="s">
        <v>1246</v>
      </c>
      <c r="F399" s="6" t="s">
        <v>1642</v>
      </c>
    </row>
    <row r="400" ht="57.75" customHeight="1" spans="1:6" x14ac:dyDescent="0.25">
      <c r="A400" s="3" t="s">
        <v>35</v>
      </c>
      <c r="B400" s="3" t="s">
        <v>1048</v>
      </c>
      <c r="C400" s="3" t="s">
        <v>1049</v>
      </c>
      <c r="D400" s="3">
        <v>4</v>
      </c>
      <c r="E400" s="3" t="s">
        <v>1248</v>
      </c>
      <c r="F400" s="6" t="s">
        <v>1643</v>
      </c>
    </row>
    <row r="401" ht="57.75" customHeight="1" spans="1:6" x14ac:dyDescent="0.25">
      <c r="A401" s="3" t="s">
        <v>35</v>
      </c>
      <c r="B401" s="3" t="s">
        <v>1048</v>
      </c>
      <c r="C401" s="3" t="s">
        <v>1049</v>
      </c>
      <c r="D401" s="3">
        <v>5</v>
      </c>
      <c r="E401" s="3" t="s">
        <v>1250</v>
      </c>
      <c r="F401" s="6" t="s">
        <v>1644</v>
      </c>
    </row>
    <row r="402" ht="57.75" customHeight="1" spans="1:6" x14ac:dyDescent="0.25">
      <c r="A402" s="3" t="s">
        <v>35</v>
      </c>
      <c r="B402" s="3" t="s">
        <v>1057</v>
      </c>
      <c r="C402" s="3" t="s">
        <v>1058</v>
      </c>
      <c r="D402" s="3">
        <v>2</v>
      </c>
      <c r="E402" s="3" t="s">
        <v>1244</v>
      </c>
      <c r="F402" s="6" t="s">
        <v>1645</v>
      </c>
    </row>
    <row r="403" ht="79.5" customHeight="1" spans="1:6" x14ac:dyDescent="0.25">
      <c r="A403" s="3" t="s">
        <v>35</v>
      </c>
      <c r="B403" s="3" t="s">
        <v>1057</v>
      </c>
      <c r="C403" s="3" t="s">
        <v>1058</v>
      </c>
      <c r="D403" s="3">
        <v>3</v>
      </c>
      <c r="E403" s="3" t="s">
        <v>1246</v>
      </c>
      <c r="F403" s="6" t="s">
        <v>1646</v>
      </c>
    </row>
    <row r="404" ht="64.5" customHeight="1" spans="1:6" x14ac:dyDescent="0.25">
      <c r="A404" s="3" t="s">
        <v>35</v>
      </c>
      <c r="B404" s="3" t="s">
        <v>1057</v>
      </c>
      <c r="C404" s="3" t="s">
        <v>1058</v>
      </c>
      <c r="D404" s="3">
        <v>4</v>
      </c>
      <c r="E404" s="3" t="s">
        <v>1248</v>
      </c>
      <c r="F404" s="6" t="s">
        <v>1647</v>
      </c>
    </row>
    <row r="405" ht="79.5" customHeight="1" spans="1:6" x14ac:dyDescent="0.25">
      <c r="A405" s="3" t="s">
        <v>35</v>
      </c>
      <c r="B405" s="3" t="s">
        <v>1057</v>
      </c>
      <c r="C405" s="3" t="s">
        <v>1058</v>
      </c>
      <c r="D405" s="3">
        <v>5</v>
      </c>
      <c r="E405" s="3" t="s">
        <v>1250</v>
      </c>
      <c r="F405" s="6" t="s">
        <v>1648</v>
      </c>
    </row>
    <row r="406" ht="57.75" customHeight="1" spans="1:6" x14ac:dyDescent="0.25">
      <c r="A406" s="3" t="s">
        <v>35</v>
      </c>
      <c r="B406" s="3" t="s">
        <v>1066</v>
      </c>
      <c r="C406" s="3" t="s">
        <v>1067</v>
      </c>
      <c r="D406" s="3">
        <v>2</v>
      </c>
      <c r="E406" s="3" t="s">
        <v>1244</v>
      </c>
      <c r="F406" s="6" t="s">
        <v>1649</v>
      </c>
    </row>
    <row r="407" ht="79.5" customHeight="1" spans="1:6" x14ac:dyDescent="0.25">
      <c r="A407" s="3" t="s">
        <v>35</v>
      </c>
      <c r="B407" s="3" t="s">
        <v>1066</v>
      </c>
      <c r="C407" s="3" t="s">
        <v>1067</v>
      </c>
      <c r="D407" s="3">
        <v>3</v>
      </c>
      <c r="E407" s="3" t="s">
        <v>1246</v>
      </c>
      <c r="F407" s="6" t="s">
        <v>1650</v>
      </c>
    </row>
    <row r="408" ht="79.5" customHeight="1" spans="1:6" x14ac:dyDescent="0.25">
      <c r="A408" s="3" t="s">
        <v>35</v>
      </c>
      <c r="B408" s="3" t="s">
        <v>1066</v>
      </c>
      <c r="C408" s="3" t="s">
        <v>1067</v>
      </c>
      <c r="D408" s="3">
        <v>4</v>
      </c>
      <c r="E408" s="3" t="s">
        <v>1248</v>
      </c>
      <c r="F408" s="6" t="s">
        <v>1651</v>
      </c>
    </row>
    <row r="409" ht="79.5" customHeight="1" spans="1:6" x14ac:dyDescent="0.25">
      <c r="A409" s="3" t="s">
        <v>35</v>
      </c>
      <c r="B409" s="3" t="s">
        <v>1066</v>
      </c>
      <c r="C409" s="3" t="s">
        <v>1067</v>
      </c>
      <c r="D409" s="3">
        <v>5</v>
      </c>
      <c r="E409" s="3" t="s">
        <v>1250</v>
      </c>
      <c r="F409" s="6" t="s">
        <v>1652</v>
      </c>
    </row>
    <row r="410" ht="57.75" customHeight="1" spans="1:6" x14ac:dyDescent="0.25">
      <c r="A410" s="3" t="s">
        <v>35</v>
      </c>
      <c r="B410" s="3" t="s">
        <v>1075</v>
      </c>
      <c r="C410" s="3" t="s">
        <v>1076</v>
      </c>
      <c r="D410" s="3">
        <v>2</v>
      </c>
      <c r="E410" s="3" t="s">
        <v>1244</v>
      </c>
      <c r="F410" s="6" t="s">
        <v>1653</v>
      </c>
    </row>
    <row r="411" ht="57.75" customHeight="1" spans="1:6" x14ac:dyDescent="0.25">
      <c r="A411" s="3" t="s">
        <v>35</v>
      </c>
      <c r="B411" s="3" t="s">
        <v>1075</v>
      </c>
      <c r="C411" s="3" t="s">
        <v>1076</v>
      </c>
      <c r="D411" s="3">
        <v>3</v>
      </c>
      <c r="E411" s="3" t="s">
        <v>1246</v>
      </c>
      <c r="F411" s="6" t="s">
        <v>1654</v>
      </c>
    </row>
    <row r="412" ht="57.75" customHeight="1" spans="1:6" x14ac:dyDescent="0.25">
      <c r="A412" s="3" t="s">
        <v>35</v>
      </c>
      <c r="B412" s="3" t="s">
        <v>1075</v>
      </c>
      <c r="C412" s="3" t="s">
        <v>1076</v>
      </c>
      <c r="D412" s="3">
        <v>4</v>
      </c>
      <c r="E412" s="3" t="s">
        <v>1248</v>
      </c>
      <c r="F412" s="6" t="s">
        <v>1655</v>
      </c>
    </row>
    <row r="413" ht="57.75" customHeight="1" spans="1:6" x14ac:dyDescent="0.25">
      <c r="A413" s="3" t="s">
        <v>35</v>
      </c>
      <c r="B413" s="3" t="s">
        <v>1075</v>
      </c>
      <c r="C413" s="3" t="s">
        <v>1076</v>
      </c>
      <c r="D413" s="3">
        <v>5</v>
      </c>
      <c r="E413" s="3" t="s">
        <v>1250</v>
      </c>
      <c r="F413" s="6" t="s">
        <v>1656</v>
      </c>
    </row>
    <row r="414" ht="57.75" customHeight="1" spans="1:6" x14ac:dyDescent="0.25">
      <c r="A414" s="3" t="s">
        <v>35</v>
      </c>
      <c r="B414" s="3" t="s">
        <v>1084</v>
      </c>
      <c r="C414" s="3" t="s">
        <v>1085</v>
      </c>
      <c r="D414" s="3">
        <v>2</v>
      </c>
      <c r="E414" s="3" t="s">
        <v>1244</v>
      </c>
      <c r="F414" s="6" t="s">
        <v>1657</v>
      </c>
    </row>
    <row r="415" ht="57.75" customHeight="1" spans="1:6" x14ac:dyDescent="0.25">
      <c r="A415" s="3" t="s">
        <v>35</v>
      </c>
      <c r="B415" s="3" t="s">
        <v>1084</v>
      </c>
      <c r="C415" s="3" t="s">
        <v>1085</v>
      </c>
      <c r="D415" s="3">
        <v>3</v>
      </c>
      <c r="E415" s="3" t="s">
        <v>1246</v>
      </c>
      <c r="F415" s="6" t="s">
        <v>1658</v>
      </c>
    </row>
    <row r="416" ht="57.75" customHeight="1" spans="1:6" x14ac:dyDescent="0.25">
      <c r="A416" s="3" t="s">
        <v>35</v>
      </c>
      <c r="B416" s="3" t="s">
        <v>1084</v>
      </c>
      <c r="C416" s="3" t="s">
        <v>1085</v>
      </c>
      <c r="D416" s="3">
        <v>4</v>
      </c>
      <c r="E416" s="3" t="s">
        <v>1248</v>
      </c>
      <c r="F416" s="6" t="s">
        <v>1659</v>
      </c>
    </row>
    <row r="417" ht="57.75" customHeight="1" spans="1:6" x14ac:dyDescent="0.25">
      <c r="A417" s="3" t="s">
        <v>35</v>
      </c>
      <c r="B417" s="3" t="s">
        <v>1084</v>
      </c>
      <c r="C417" s="3" t="s">
        <v>1085</v>
      </c>
      <c r="D417" s="3">
        <v>5</v>
      </c>
      <c r="E417" s="3" t="s">
        <v>1250</v>
      </c>
      <c r="F417" s="6" t="s">
        <v>1660</v>
      </c>
    </row>
    <row r="418" ht="57.75" customHeight="1" spans="1:6" x14ac:dyDescent="0.25">
      <c r="A418" s="3" t="s">
        <v>35</v>
      </c>
      <c r="B418" s="3" t="s">
        <v>1096</v>
      </c>
      <c r="C418" s="3" t="s">
        <v>1097</v>
      </c>
      <c r="D418" s="3">
        <v>2</v>
      </c>
      <c r="E418" s="3" t="s">
        <v>1244</v>
      </c>
      <c r="F418" s="6" t="s">
        <v>1661</v>
      </c>
    </row>
    <row r="419" ht="57.75" customHeight="1" spans="1:6" x14ac:dyDescent="0.25">
      <c r="A419" s="3" t="s">
        <v>35</v>
      </c>
      <c r="B419" s="3" t="s">
        <v>1096</v>
      </c>
      <c r="C419" s="3" t="s">
        <v>1097</v>
      </c>
      <c r="D419" s="3">
        <v>3</v>
      </c>
      <c r="E419" s="3" t="s">
        <v>1246</v>
      </c>
      <c r="F419" s="6" t="s">
        <v>1662</v>
      </c>
    </row>
    <row r="420" ht="57.75" customHeight="1" spans="1:6" x14ac:dyDescent="0.25">
      <c r="A420" s="3" t="s">
        <v>35</v>
      </c>
      <c r="B420" s="3" t="s">
        <v>1096</v>
      </c>
      <c r="C420" s="3" t="s">
        <v>1097</v>
      </c>
      <c r="D420" s="3">
        <v>4</v>
      </c>
      <c r="E420" s="3" t="s">
        <v>1248</v>
      </c>
      <c r="F420" s="6" t="s">
        <v>1663</v>
      </c>
    </row>
    <row r="421" ht="57.75" customHeight="1" spans="1:6" x14ac:dyDescent="0.25">
      <c r="A421" s="3" t="s">
        <v>35</v>
      </c>
      <c r="B421" s="3" t="s">
        <v>1096</v>
      </c>
      <c r="C421" s="3" t="s">
        <v>1097</v>
      </c>
      <c r="D421" s="3">
        <v>5</v>
      </c>
      <c r="E421" s="3" t="s">
        <v>1250</v>
      </c>
      <c r="F421" s="6" t="s">
        <v>1664</v>
      </c>
    </row>
    <row r="422" ht="57.75" customHeight="1" spans="1:6" x14ac:dyDescent="0.25">
      <c r="A422" s="3" t="s">
        <v>35</v>
      </c>
      <c r="B422" s="3" t="s">
        <v>1105</v>
      </c>
      <c r="C422" s="3" t="s">
        <v>1106</v>
      </c>
      <c r="D422" s="3">
        <v>2</v>
      </c>
      <c r="E422" s="3" t="s">
        <v>1244</v>
      </c>
      <c r="F422" s="6" t="s">
        <v>1665</v>
      </c>
    </row>
    <row r="423" ht="57.75" customHeight="1" spans="1:6" x14ac:dyDescent="0.25">
      <c r="A423" s="3" t="s">
        <v>35</v>
      </c>
      <c r="B423" s="3" t="s">
        <v>1105</v>
      </c>
      <c r="C423" s="3" t="s">
        <v>1106</v>
      </c>
      <c r="D423" s="3">
        <v>3</v>
      </c>
      <c r="E423" s="3" t="s">
        <v>1246</v>
      </c>
      <c r="F423" s="6" t="s">
        <v>1666</v>
      </c>
    </row>
    <row r="424" ht="57.75" customHeight="1" spans="1:6" x14ac:dyDescent="0.25">
      <c r="A424" s="3" t="s">
        <v>35</v>
      </c>
      <c r="B424" s="3" t="s">
        <v>1105</v>
      </c>
      <c r="C424" s="3" t="s">
        <v>1106</v>
      </c>
      <c r="D424" s="3">
        <v>4</v>
      </c>
      <c r="E424" s="3" t="s">
        <v>1248</v>
      </c>
      <c r="F424" s="6" t="s">
        <v>1667</v>
      </c>
    </row>
    <row r="425" ht="57.75" customHeight="1" spans="1:6" x14ac:dyDescent="0.25">
      <c r="A425" s="3" t="s">
        <v>35</v>
      </c>
      <c r="B425" s="3" t="s">
        <v>1105</v>
      </c>
      <c r="C425" s="3" t="s">
        <v>1106</v>
      </c>
      <c r="D425" s="3">
        <v>5</v>
      </c>
      <c r="E425" s="3" t="s">
        <v>1250</v>
      </c>
      <c r="F425" s="6" t="s">
        <v>1668</v>
      </c>
    </row>
    <row r="426" ht="57.75" customHeight="1" spans="1:6" x14ac:dyDescent="0.25">
      <c r="A426" s="3" t="s">
        <v>35</v>
      </c>
      <c r="B426" s="3" t="s">
        <v>1114</v>
      </c>
      <c r="C426" s="3" t="s">
        <v>1115</v>
      </c>
      <c r="D426" s="3">
        <v>2</v>
      </c>
      <c r="E426" s="3" t="s">
        <v>1244</v>
      </c>
      <c r="F426" s="6" t="s">
        <v>1669</v>
      </c>
    </row>
    <row r="427" ht="57.75" customHeight="1" spans="1:6" x14ac:dyDescent="0.25">
      <c r="A427" s="3" t="s">
        <v>35</v>
      </c>
      <c r="B427" s="3" t="s">
        <v>1114</v>
      </c>
      <c r="C427" s="3" t="s">
        <v>1115</v>
      </c>
      <c r="D427" s="3">
        <v>3</v>
      </c>
      <c r="E427" s="3" t="s">
        <v>1246</v>
      </c>
      <c r="F427" s="6" t="s">
        <v>1670</v>
      </c>
    </row>
    <row r="428" ht="57.75" customHeight="1" spans="1:6" x14ac:dyDescent="0.25">
      <c r="A428" s="3" t="s">
        <v>35</v>
      </c>
      <c r="B428" s="3" t="s">
        <v>1114</v>
      </c>
      <c r="C428" s="3" t="s">
        <v>1115</v>
      </c>
      <c r="D428" s="3">
        <v>4</v>
      </c>
      <c r="E428" s="3" t="s">
        <v>1248</v>
      </c>
      <c r="F428" s="6" t="s">
        <v>1671</v>
      </c>
    </row>
    <row r="429" ht="57.75" customHeight="1" spans="1:6" x14ac:dyDescent="0.25">
      <c r="A429" s="3" t="s">
        <v>35</v>
      </c>
      <c r="B429" s="3" t="s">
        <v>1114</v>
      </c>
      <c r="C429" s="3" t="s">
        <v>1115</v>
      </c>
      <c r="D429" s="3">
        <v>5</v>
      </c>
      <c r="E429" s="3" t="s">
        <v>1250</v>
      </c>
      <c r="F429" s="6" t="s">
        <v>1672</v>
      </c>
    </row>
    <row r="430" ht="57.75" customHeight="1" spans="1:6" x14ac:dyDescent="0.25">
      <c r="A430" s="3" t="s">
        <v>35</v>
      </c>
      <c r="B430" s="3" t="s">
        <v>1126</v>
      </c>
      <c r="C430" s="3" t="s">
        <v>1127</v>
      </c>
      <c r="D430" s="3">
        <v>2</v>
      </c>
      <c r="E430" s="3" t="s">
        <v>1244</v>
      </c>
      <c r="F430" s="6" t="s">
        <v>1673</v>
      </c>
    </row>
    <row r="431" ht="57.75" customHeight="1" spans="1:6" x14ac:dyDescent="0.25">
      <c r="A431" s="3" t="s">
        <v>35</v>
      </c>
      <c r="B431" s="3" t="s">
        <v>1126</v>
      </c>
      <c r="C431" s="3" t="s">
        <v>1127</v>
      </c>
      <c r="D431" s="3">
        <v>3</v>
      </c>
      <c r="E431" s="3" t="s">
        <v>1246</v>
      </c>
      <c r="F431" s="6" t="s">
        <v>1674</v>
      </c>
    </row>
    <row r="432" ht="57.75" customHeight="1" spans="1:6" x14ac:dyDescent="0.25">
      <c r="A432" s="3" t="s">
        <v>35</v>
      </c>
      <c r="B432" s="3" t="s">
        <v>1126</v>
      </c>
      <c r="C432" s="3" t="s">
        <v>1127</v>
      </c>
      <c r="D432" s="3">
        <v>4</v>
      </c>
      <c r="E432" s="3" t="s">
        <v>1248</v>
      </c>
      <c r="F432" s="6" t="s">
        <v>1675</v>
      </c>
    </row>
    <row r="433" ht="57.75" customHeight="1" spans="1:6" x14ac:dyDescent="0.25">
      <c r="A433" s="3" t="s">
        <v>35</v>
      </c>
      <c r="B433" s="3" t="s">
        <v>1126</v>
      </c>
      <c r="C433" s="3" t="s">
        <v>1127</v>
      </c>
      <c r="D433" s="3">
        <v>5</v>
      </c>
      <c r="E433" s="3" t="s">
        <v>1250</v>
      </c>
      <c r="F433" s="6" t="s">
        <v>1676</v>
      </c>
    </row>
    <row r="434" ht="57.75" customHeight="1" spans="1:6" x14ac:dyDescent="0.25">
      <c r="A434" s="3" t="s">
        <v>35</v>
      </c>
      <c r="B434" s="3" t="s">
        <v>1136</v>
      </c>
      <c r="C434" s="3" t="s">
        <v>1137</v>
      </c>
      <c r="D434" s="3">
        <v>2</v>
      </c>
      <c r="E434" s="3" t="s">
        <v>1244</v>
      </c>
      <c r="F434" s="6" t="s">
        <v>1677</v>
      </c>
    </row>
    <row r="435" ht="79.5" customHeight="1" spans="1:6" x14ac:dyDescent="0.25">
      <c r="A435" s="3" t="s">
        <v>35</v>
      </c>
      <c r="B435" s="3" t="s">
        <v>1136</v>
      </c>
      <c r="C435" s="3" t="s">
        <v>1137</v>
      </c>
      <c r="D435" s="3">
        <v>3</v>
      </c>
      <c r="E435" s="3" t="s">
        <v>1246</v>
      </c>
      <c r="F435" s="6" t="s">
        <v>1678</v>
      </c>
    </row>
    <row r="436" ht="64.5" customHeight="1" spans="1:6" x14ac:dyDescent="0.25">
      <c r="A436" s="3" t="s">
        <v>35</v>
      </c>
      <c r="B436" s="3" t="s">
        <v>1136</v>
      </c>
      <c r="C436" s="3" t="s">
        <v>1137</v>
      </c>
      <c r="D436" s="3">
        <v>4</v>
      </c>
      <c r="E436" s="3" t="s">
        <v>1248</v>
      </c>
      <c r="F436" s="6" t="s">
        <v>1679</v>
      </c>
    </row>
    <row r="437" ht="64.5" customHeight="1" spans="1:6" x14ac:dyDescent="0.25">
      <c r="A437" s="3" t="s">
        <v>35</v>
      </c>
      <c r="B437" s="3" t="s">
        <v>1136</v>
      </c>
      <c r="C437" s="3" t="s">
        <v>1137</v>
      </c>
      <c r="D437" s="3">
        <v>5</v>
      </c>
      <c r="E437" s="3" t="s">
        <v>1250</v>
      </c>
      <c r="F437" s="6" t="s">
        <v>1680</v>
      </c>
    </row>
    <row r="438" ht="57.75" customHeight="1" spans="1:6" x14ac:dyDescent="0.25">
      <c r="A438" s="3" t="s">
        <v>35</v>
      </c>
      <c r="B438" s="3" t="s">
        <v>1146</v>
      </c>
      <c r="C438" s="3" t="s">
        <v>1147</v>
      </c>
      <c r="D438" s="3">
        <v>2</v>
      </c>
      <c r="E438" s="3" t="s">
        <v>1244</v>
      </c>
      <c r="F438" s="6" t="s">
        <v>1681</v>
      </c>
    </row>
    <row r="439" ht="57.75" customHeight="1" spans="1:6" x14ac:dyDescent="0.25">
      <c r="A439" s="3" t="s">
        <v>35</v>
      </c>
      <c r="B439" s="3" t="s">
        <v>1146</v>
      </c>
      <c r="C439" s="3" t="s">
        <v>1147</v>
      </c>
      <c r="D439" s="3">
        <v>3</v>
      </c>
      <c r="E439" s="3" t="s">
        <v>1246</v>
      </c>
      <c r="F439" s="6" t="s">
        <v>1682</v>
      </c>
    </row>
    <row r="440" ht="57.75" customHeight="1" spans="1:6" x14ac:dyDescent="0.25">
      <c r="A440" s="3" t="s">
        <v>35</v>
      </c>
      <c r="B440" s="3" t="s">
        <v>1146</v>
      </c>
      <c r="C440" s="3" t="s">
        <v>1147</v>
      </c>
      <c r="D440" s="3">
        <v>4</v>
      </c>
      <c r="E440" s="3" t="s">
        <v>1248</v>
      </c>
      <c r="F440" s="6" t="s">
        <v>1683</v>
      </c>
    </row>
    <row r="441" ht="57.75" customHeight="1" spans="1:6" x14ac:dyDescent="0.25">
      <c r="A441" s="3" t="s">
        <v>35</v>
      </c>
      <c r="B441" s="3" t="s">
        <v>1146</v>
      </c>
      <c r="C441" s="3" t="s">
        <v>1147</v>
      </c>
      <c r="D441" s="3">
        <v>5</v>
      </c>
      <c r="E441" s="3" t="s">
        <v>1250</v>
      </c>
      <c r="F441" s="6" t="s">
        <v>1684</v>
      </c>
    </row>
    <row r="442" ht="57.75" customHeight="1" spans="1:6" x14ac:dyDescent="0.25">
      <c r="A442" s="3" t="s">
        <v>35</v>
      </c>
      <c r="B442" s="3" t="s">
        <v>1155</v>
      </c>
      <c r="C442" s="3" t="s">
        <v>1156</v>
      </c>
      <c r="D442" s="3">
        <v>2</v>
      </c>
      <c r="E442" s="3" t="s">
        <v>1244</v>
      </c>
      <c r="F442" s="6" t="s">
        <v>1685</v>
      </c>
    </row>
    <row r="443" ht="57.75" customHeight="1" spans="1:6" x14ac:dyDescent="0.25">
      <c r="A443" s="3" t="s">
        <v>35</v>
      </c>
      <c r="B443" s="3" t="s">
        <v>1155</v>
      </c>
      <c r="C443" s="3" t="s">
        <v>1156</v>
      </c>
      <c r="D443" s="3">
        <v>3</v>
      </c>
      <c r="E443" s="3" t="s">
        <v>1246</v>
      </c>
      <c r="F443" s="6" t="s">
        <v>1686</v>
      </c>
    </row>
    <row r="444" ht="57.75" customHeight="1" spans="1:6" x14ac:dyDescent="0.25">
      <c r="A444" s="3" t="s">
        <v>35</v>
      </c>
      <c r="B444" s="3" t="s">
        <v>1155</v>
      </c>
      <c r="C444" s="3" t="s">
        <v>1156</v>
      </c>
      <c r="D444" s="3">
        <v>4</v>
      </c>
      <c r="E444" s="3" t="s">
        <v>1248</v>
      </c>
      <c r="F444" s="6" t="s">
        <v>1687</v>
      </c>
    </row>
    <row r="445" ht="57.75" customHeight="1" spans="1:6" x14ac:dyDescent="0.25">
      <c r="A445" s="3" t="s">
        <v>35</v>
      </c>
      <c r="B445" s="3" t="s">
        <v>1155</v>
      </c>
      <c r="C445" s="3" t="s">
        <v>1156</v>
      </c>
      <c r="D445" s="3">
        <v>5</v>
      </c>
      <c r="E445" s="3" t="s">
        <v>1250</v>
      </c>
      <c r="F445" s="6" t="s">
        <v>1688</v>
      </c>
    </row>
    <row r="446" ht="57.75" customHeight="1" spans="1:6" x14ac:dyDescent="0.25">
      <c r="A446" s="3" t="s">
        <v>35</v>
      </c>
      <c r="B446" s="3" t="s">
        <v>1165</v>
      </c>
      <c r="C446" s="3" t="s">
        <v>1166</v>
      </c>
      <c r="D446" s="3">
        <v>2</v>
      </c>
      <c r="E446" s="3" t="s">
        <v>1244</v>
      </c>
      <c r="F446" s="6" t="s">
        <v>1689</v>
      </c>
    </row>
    <row r="447" ht="57.75" customHeight="1" spans="1:6" x14ac:dyDescent="0.25">
      <c r="A447" s="3" t="s">
        <v>35</v>
      </c>
      <c r="B447" s="3" t="s">
        <v>1165</v>
      </c>
      <c r="C447" s="3" t="s">
        <v>1166</v>
      </c>
      <c r="D447" s="3">
        <v>3</v>
      </c>
      <c r="E447" s="3" t="s">
        <v>1246</v>
      </c>
      <c r="F447" s="6" t="s">
        <v>1690</v>
      </c>
    </row>
    <row r="448" ht="57.75" customHeight="1" spans="1:6" x14ac:dyDescent="0.25">
      <c r="A448" s="3" t="s">
        <v>35</v>
      </c>
      <c r="B448" s="3" t="s">
        <v>1165</v>
      </c>
      <c r="C448" s="3" t="s">
        <v>1166</v>
      </c>
      <c r="D448" s="3">
        <v>4</v>
      </c>
      <c r="E448" s="3" t="s">
        <v>1248</v>
      </c>
      <c r="F448" s="6" t="s">
        <v>1691</v>
      </c>
    </row>
    <row r="449" ht="57.75" customHeight="1" spans="1:6" x14ac:dyDescent="0.25">
      <c r="A449" s="3" t="s">
        <v>35</v>
      </c>
      <c r="B449" s="3" t="s">
        <v>1165</v>
      </c>
      <c r="C449" s="3" t="s">
        <v>1166</v>
      </c>
      <c r="D449" s="3">
        <v>5</v>
      </c>
      <c r="E449" s="3" t="s">
        <v>1250</v>
      </c>
      <c r="F449" s="6" t="s">
        <v>1692</v>
      </c>
    </row>
    <row r="450" ht="57.75" customHeight="1" spans="1:6" x14ac:dyDescent="0.25">
      <c r="A450" s="3" t="s">
        <v>35</v>
      </c>
      <c r="B450" s="3" t="s">
        <v>1175</v>
      </c>
      <c r="C450" s="3" t="s">
        <v>1176</v>
      </c>
      <c r="D450" s="3">
        <v>2</v>
      </c>
      <c r="E450" s="3" t="s">
        <v>1244</v>
      </c>
      <c r="F450" s="6" t="s">
        <v>1693</v>
      </c>
    </row>
    <row r="451" ht="57.75" customHeight="1" spans="1:6" x14ac:dyDescent="0.25">
      <c r="A451" s="3" t="s">
        <v>35</v>
      </c>
      <c r="B451" s="3" t="s">
        <v>1175</v>
      </c>
      <c r="C451" s="3" t="s">
        <v>1176</v>
      </c>
      <c r="D451" s="3">
        <v>3</v>
      </c>
      <c r="E451" s="3" t="s">
        <v>1246</v>
      </c>
      <c r="F451" s="6" t="s">
        <v>1694</v>
      </c>
    </row>
    <row r="452" ht="57.75" customHeight="1" spans="1:6" x14ac:dyDescent="0.25">
      <c r="A452" s="3" t="s">
        <v>35</v>
      </c>
      <c r="B452" s="3" t="s">
        <v>1175</v>
      </c>
      <c r="C452" s="3" t="s">
        <v>1176</v>
      </c>
      <c r="D452" s="3">
        <v>4</v>
      </c>
      <c r="E452" s="3" t="s">
        <v>1248</v>
      </c>
      <c r="F452" s="6" t="s">
        <v>1695</v>
      </c>
    </row>
    <row r="453" ht="57.75" customHeight="1" spans="1:6" x14ac:dyDescent="0.25">
      <c r="A453" s="3" t="s">
        <v>35</v>
      </c>
      <c r="B453" s="3" t="s">
        <v>1175</v>
      </c>
      <c r="C453" s="3" t="s">
        <v>1176</v>
      </c>
      <c r="D453" s="3">
        <v>5</v>
      </c>
      <c r="E453" s="3" t="s">
        <v>1250</v>
      </c>
      <c r="F453" s="6" t="s">
        <v>1696</v>
      </c>
    </row>
    <row r="454" ht="57.75" customHeight="1" spans="1:6" x14ac:dyDescent="0.25">
      <c r="A454" s="3" t="s">
        <v>35</v>
      </c>
      <c r="B454" s="3" t="s">
        <v>1187</v>
      </c>
      <c r="C454" s="3" t="s">
        <v>1188</v>
      </c>
      <c r="D454" s="3">
        <v>2</v>
      </c>
      <c r="E454" s="3" t="s">
        <v>1244</v>
      </c>
      <c r="F454" s="6" t="s">
        <v>1697</v>
      </c>
    </row>
    <row r="455" ht="57.75" customHeight="1" spans="1:6" x14ac:dyDescent="0.25">
      <c r="A455" s="3" t="s">
        <v>35</v>
      </c>
      <c r="B455" s="3" t="s">
        <v>1187</v>
      </c>
      <c r="C455" s="3" t="s">
        <v>1188</v>
      </c>
      <c r="D455" s="3">
        <v>3</v>
      </c>
      <c r="E455" s="3" t="s">
        <v>1246</v>
      </c>
      <c r="F455" s="6" t="s">
        <v>1698</v>
      </c>
    </row>
    <row r="456" ht="57.75" customHeight="1" spans="1:6" x14ac:dyDescent="0.25">
      <c r="A456" s="3" t="s">
        <v>35</v>
      </c>
      <c r="B456" s="3" t="s">
        <v>1187</v>
      </c>
      <c r="C456" s="3" t="s">
        <v>1188</v>
      </c>
      <c r="D456" s="3">
        <v>4</v>
      </c>
      <c r="E456" s="3" t="s">
        <v>1248</v>
      </c>
      <c r="F456" s="6" t="s">
        <v>1699</v>
      </c>
    </row>
    <row r="457" ht="57.75" customHeight="1" spans="1:6" x14ac:dyDescent="0.25">
      <c r="A457" s="3" t="s">
        <v>35</v>
      </c>
      <c r="B457" s="3" t="s">
        <v>1187</v>
      </c>
      <c r="C457" s="3" t="s">
        <v>1188</v>
      </c>
      <c r="D457" s="3">
        <v>5</v>
      </c>
      <c r="E457" s="3" t="s">
        <v>1250</v>
      </c>
      <c r="F457" s="6" t="s">
        <v>1700</v>
      </c>
    </row>
    <row r="458" ht="57.75" customHeight="1" spans="1:6" x14ac:dyDescent="0.25">
      <c r="A458" s="3" t="s">
        <v>35</v>
      </c>
      <c r="B458" s="3" t="s">
        <v>1196</v>
      </c>
      <c r="C458" s="3" t="s">
        <v>1197</v>
      </c>
      <c r="D458" s="3">
        <v>2</v>
      </c>
      <c r="E458" s="3" t="s">
        <v>1244</v>
      </c>
      <c r="F458" s="6" t="s">
        <v>1701</v>
      </c>
    </row>
    <row r="459" ht="57.75" customHeight="1" spans="1:6" x14ac:dyDescent="0.25">
      <c r="A459" s="3" t="s">
        <v>35</v>
      </c>
      <c r="B459" s="3" t="s">
        <v>1196</v>
      </c>
      <c r="C459" s="3" t="s">
        <v>1197</v>
      </c>
      <c r="D459" s="3">
        <v>3</v>
      </c>
      <c r="E459" s="3" t="s">
        <v>1246</v>
      </c>
      <c r="F459" s="6" t="s">
        <v>1702</v>
      </c>
    </row>
    <row r="460" ht="57.75" customHeight="1" spans="1:6" x14ac:dyDescent="0.25">
      <c r="A460" s="3" t="s">
        <v>35</v>
      </c>
      <c r="B460" s="3" t="s">
        <v>1196</v>
      </c>
      <c r="C460" s="3" t="s">
        <v>1197</v>
      </c>
      <c r="D460" s="3">
        <v>4</v>
      </c>
      <c r="E460" s="3" t="s">
        <v>1248</v>
      </c>
      <c r="F460" s="6" t="s">
        <v>1703</v>
      </c>
    </row>
    <row r="461" ht="57.75" customHeight="1" spans="1:6" x14ac:dyDescent="0.25">
      <c r="A461" s="3" t="s">
        <v>35</v>
      </c>
      <c r="B461" s="3" t="s">
        <v>1196</v>
      </c>
      <c r="C461" s="3" t="s">
        <v>1197</v>
      </c>
      <c r="D461" s="3">
        <v>5</v>
      </c>
      <c r="E461" s="3" t="s">
        <v>1250</v>
      </c>
      <c r="F461" s="6" t="s">
        <v>1704</v>
      </c>
    </row>
    <row r="462" ht="57.75" customHeight="1" spans="1:6" x14ac:dyDescent="0.25">
      <c r="A462" s="3" t="s">
        <v>35</v>
      </c>
      <c r="B462" s="3" t="s">
        <v>1205</v>
      </c>
      <c r="C462" s="3" t="s">
        <v>1206</v>
      </c>
      <c r="D462" s="3">
        <v>2</v>
      </c>
      <c r="E462" s="3" t="s">
        <v>1244</v>
      </c>
      <c r="F462" s="6" t="s">
        <v>1705</v>
      </c>
    </row>
    <row r="463" ht="57.75" customHeight="1" spans="1:6" x14ac:dyDescent="0.25">
      <c r="A463" s="3" t="s">
        <v>35</v>
      </c>
      <c r="B463" s="3" t="s">
        <v>1205</v>
      </c>
      <c r="C463" s="3" t="s">
        <v>1206</v>
      </c>
      <c r="D463" s="3">
        <v>3</v>
      </c>
      <c r="E463" s="3" t="s">
        <v>1246</v>
      </c>
      <c r="F463" s="6" t="s">
        <v>1706</v>
      </c>
    </row>
    <row r="464" ht="64.5" customHeight="1" spans="1:6" x14ac:dyDescent="0.25">
      <c r="A464" s="3" t="s">
        <v>35</v>
      </c>
      <c r="B464" s="3" t="s">
        <v>1205</v>
      </c>
      <c r="C464" s="3" t="s">
        <v>1206</v>
      </c>
      <c r="D464" s="3">
        <v>4</v>
      </c>
      <c r="E464" s="3" t="s">
        <v>1248</v>
      </c>
      <c r="F464" s="6" t="s">
        <v>1707</v>
      </c>
    </row>
    <row r="465" ht="64.5" customHeight="1" spans="1:6" x14ac:dyDescent="0.25">
      <c r="A465" s="3" t="s">
        <v>35</v>
      </c>
      <c r="B465" s="3" t="s">
        <v>1205</v>
      </c>
      <c r="C465" s="3" t="s">
        <v>1206</v>
      </c>
      <c r="D465" s="3">
        <v>5</v>
      </c>
      <c r="E465" s="3" t="s">
        <v>1250</v>
      </c>
      <c r="F465" s="6" t="s">
        <v>1708</v>
      </c>
    </row>
    <row r="466" ht="57.75" customHeight="1" spans="1:6" x14ac:dyDescent="0.25">
      <c r="A466" s="3" t="s">
        <v>35</v>
      </c>
      <c r="B466" s="3" t="s">
        <v>1214</v>
      </c>
      <c r="C466" s="3" t="s">
        <v>1215</v>
      </c>
      <c r="D466" s="3">
        <v>2</v>
      </c>
      <c r="E466" s="3" t="s">
        <v>1244</v>
      </c>
      <c r="F466" s="6" t="s">
        <v>1709</v>
      </c>
    </row>
    <row r="467" ht="57.75" customHeight="1" spans="1:6" x14ac:dyDescent="0.25">
      <c r="A467" s="3" t="s">
        <v>35</v>
      </c>
      <c r="B467" s="3" t="s">
        <v>1214</v>
      </c>
      <c r="C467" s="3" t="s">
        <v>1215</v>
      </c>
      <c r="D467" s="3">
        <v>3</v>
      </c>
      <c r="E467" s="3" t="s">
        <v>1246</v>
      </c>
      <c r="F467" s="6" t="s">
        <v>1710</v>
      </c>
    </row>
    <row r="468" ht="57.75" customHeight="1" spans="1:6" x14ac:dyDescent="0.25">
      <c r="A468" s="3" t="s">
        <v>35</v>
      </c>
      <c r="B468" s="3" t="s">
        <v>1214</v>
      </c>
      <c r="C468" s="3" t="s">
        <v>1215</v>
      </c>
      <c r="D468" s="3">
        <v>4</v>
      </c>
      <c r="E468" s="3" t="s">
        <v>1248</v>
      </c>
      <c r="F468" s="6" t="s">
        <v>1711</v>
      </c>
    </row>
    <row r="469" ht="57.75" customHeight="1" spans="1:6" x14ac:dyDescent="0.25">
      <c r="A469" s="3" t="s">
        <v>35</v>
      </c>
      <c r="B469" s="3" t="s">
        <v>1214</v>
      </c>
      <c r="C469" s="3" t="s">
        <v>1215</v>
      </c>
      <c r="D469" s="3">
        <v>5</v>
      </c>
      <c r="E469" s="3" t="s">
        <v>1250</v>
      </c>
      <c r="F469" s="6" t="s">
        <v>1712</v>
      </c>
    </row>
    <row r="470" ht="57.75" customHeight="1" spans="1:6" x14ac:dyDescent="0.25">
      <c r="A470" s="3" t="s">
        <v>35</v>
      </c>
      <c r="B470" s="3" t="s">
        <v>1223</v>
      </c>
      <c r="C470" s="3" t="s">
        <v>1224</v>
      </c>
      <c r="D470" s="3">
        <v>2</v>
      </c>
      <c r="E470" s="3" t="s">
        <v>1244</v>
      </c>
      <c r="F470" s="6" t="s">
        <v>1713</v>
      </c>
    </row>
    <row r="471" ht="57.75" customHeight="1" spans="1:6" x14ac:dyDescent="0.25">
      <c r="A471" s="3" t="s">
        <v>35</v>
      </c>
      <c r="B471" s="3" t="s">
        <v>1223</v>
      </c>
      <c r="C471" s="3" t="s">
        <v>1224</v>
      </c>
      <c r="D471" s="3">
        <v>3</v>
      </c>
      <c r="E471" s="3" t="s">
        <v>1246</v>
      </c>
      <c r="F471" s="6" t="s">
        <v>1714</v>
      </c>
    </row>
    <row r="472" ht="57.75" customHeight="1" spans="1:6" x14ac:dyDescent="0.25">
      <c r="A472" s="3" t="s">
        <v>35</v>
      </c>
      <c r="B472" s="3" t="s">
        <v>1223</v>
      </c>
      <c r="C472" s="3" t="s">
        <v>1224</v>
      </c>
      <c r="D472" s="3">
        <v>4</v>
      </c>
      <c r="E472" s="3" t="s">
        <v>1248</v>
      </c>
      <c r="F472" s="6" t="s">
        <v>1715</v>
      </c>
    </row>
    <row r="473" ht="57.75" customHeight="1" spans="1:6" x14ac:dyDescent="0.25">
      <c r="A473" s="3" t="s">
        <v>35</v>
      </c>
      <c r="B473" s="3" t="s">
        <v>1223</v>
      </c>
      <c r="C473" s="3" t="s">
        <v>1224</v>
      </c>
      <c r="D473" s="3">
        <v>5</v>
      </c>
      <c r="E473" s="3" t="s">
        <v>1250</v>
      </c>
      <c r="F473" s="6" t="s">
        <v>1716</v>
      </c>
    </row>
    <row r="474" ht="57.75" customHeight="1" spans="1:6" x14ac:dyDescent="0.25">
      <c r="A474" s="3" t="s">
        <v>35</v>
      </c>
      <c r="B474" s="3" t="s">
        <v>1232</v>
      </c>
      <c r="C474" s="3" t="s">
        <v>1233</v>
      </c>
      <c r="D474" s="3">
        <v>2</v>
      </c>
      <c r="E474" s="3" t="s">
        <v>1244</v>
      </c>
      <c r="F474" s="6" t="s">
        <v>1717</v>
      </c>
    </row>
    <row r="475" ht="57.75" customHeight="1" spans="1:6" x14ac:dyDescent="0.25">
      <c r="A475" s="3" t="s">
        <v>35</v>
      </c>
      <c r="B475" s="3" t="s">
        <v>1232</v>
      </c>
      <c r="C475" s="3" t="s">
        <v>1233</v>
      </c>
      <c r="D475" s="3">
        <v>3</v>
      </c>
      <c r="E475" s="3" t="s">
        <v>1246</v>
      </c>
      <c r="F475" s="6" t="s">
        <v>1718</v>
      </c>
    </row>
    <row r="476" ht="57.75" customHeight="1" spans="1:6" x14ac:dyDescent="0.25">
      <c r="A476" s="3" t="s">
        <v>35</v>
      </c>
      <c r="B476" s="3" t="s">
        <v>1232</v>
      </c>
      <c r="C476" s="3" t="s">
        <v>1233</v>
      </c>
      <c r="D476" s="3">
        <v>4</v>
      </c>
      <c r="E476" s="3" t="s">
        <v>1248</v>
      </c>
      <c r="F476" s="6" t="s">
        <v>1719</v>
      </c>
    </row>
    <row r="477" ht="57.75" customHeight="1" spans="1:6" x14ac:dyDescent="0.25">
      <c r="A477" s="3" t="s">
        <v>35</v>
      </c>
      <c r="B477" s="3" t="s">
        <v>1232</v>
      </c>
      <c r="C477" s="3" t="s">
        <v>1233</v>
      </c>
      <c r="D477" s="3">
        <v>5</v>
      </c>
      <c r="E477" s="3" t="s">
        <v>1250</v>
      </c>
      <c r="F477" s="6" t="s">
        <v>1720</v>
      </c>
    </row>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20"/>
  <sheetViews>
    <sheetView workbookViewId="0" zoomScale="100" zoomScaleNormal="100"/>
  </sheetViews>
  <sheetFormatPr defaultRowHeight="15" outlineLevelRow="0" outlineLevelCol="0" x14ac:dyDescent="0" defaultColWidth="14.43"/>
  <cols>
    <col min="1" max="1" width="10.29" customWidth="1"/>
    <col min="2" max="2" width="7.57" customWidth="1"/>
    <col min="3" max="3" width="75.29" customWidth="1"/>
    <col min="4" max="4" width="11.29" customWidth="1"/>
    <col min="5" max="5" width="59.43" customWidth="1"/>
    <col min="6" max="26" width="14.71" customWidth="1"/>
  </cols>
  <sheetData>
    <row r="1" spans="1:13" x14ac:dyDescent="0.25">
      <c r="A1" s="3" t="s">
        <v>0</v>
      </c>
      <c r="B1" s="3" t="s">
        <v>2</v>
      </c>
      <c r="C1" s="3" t="s">
        <v>3</v>
      </c>
      <c r="D1" s="3" t="s">
        <v>5</v>
      </c>
      <c r="E1" s="3" t="s">
        <v>6</v>
      </c>
      <c r="F1" s="7" t="s">
        <v>1721</v>
      </c>
      <c r="I1" s="3" t="str">
        <f>IFERROR(__xludf.DUMMYFUNCTION("query(Master!$A$1:$P$1000,""Select A,C,D,F,G WHERE A IS NOT NULL"",0)"),"module_id")</f>
        <v>module_id</v>
      </c>
      <c r="J1" s="3" t="str">
        <f>IFERROR(__xludf.DUMMYFUNCTION("""COMPUTED_VALUE"""),"area_id")</f>
        <v>area_id</v>
      </c>
      <c r="K1" s="3" t="str">
        <f>IFERROR(__xludf.DUMMYFUNCTION("""COMPUTED_VALUE"""),"area_name")</f>
        <v>area_name</v>
      </c>
      <c r="L1" s="3" t="str">
        <f>IFERROR(__xludf.DUMMYFUNCTION("""COMPUTED_VALUE"""),"subpoint_id")</f>
        <v>subpoint_id</v>
      </c>
      <c r="M1" s="3" t="str">
        <f>IFERROR(__xludf.DUMMYFUNCTION("""COMPUTED_VALUE"""),"subpoint_name")</f>
        <v>subpoint_name</v>
      </c>
    </row>
    <row r="2" spans="1:13" x14ac:dyDescent="0.25">
      <c r="A2" s="3" t="s">
        <v>35</v>
      </c>
      <c r="B2" s="3" t="s">
        <v>37</v>
      </c>
      <c r="C2" s="3" t="s">
        <v>38</v>
      </c>
      <c r="D2" s="3" t="s">
        <v>39</v>
      </c>
      <c r="E2" s="3" t="s">
        <v>40</v>
      </c>
      <c r="F2" s="7" t="s">
        <v>1722</v>
      </c>
      <c r="I2" s="3" t="str">
        <f>IFERROR(__xludf.DUMMYFUNCTION("""COMPUTED_VALUE"""),"WH_V1")</f>
        <v>WH_V1</v>
      </c>
      <c r="J2" s="3" t="str">
        <f>IFERROR(__xludf.DUMMYFUNCTION("""COMPUTED_VALUE"""),"A1")</f>
        <v>A1</v>
      </c>
      <c r="K2" s="3" t="str">
        <f>IFERROR(__xludf.DUMMYFUNCTION("""COMPUTED_VALUE"""),"Scheduling")</f>
        <v>Scheduling</v>
      </c>
      <c r="L2" s="3" t="str">
        <f>IFERROR(__xludf.DUMMYFUNCTION("""COMPUTED_VALUE"""),"A1.1")</f>
        <v>A1.1</v>
      </c>
      <c r="M2" s="3" t="str">
        <f>IFERROR(__xludf.DUMMYFUNCTION("""COMPUTED_VALUE"""),"Appointment Scheduling")</f>
        <v>Appointment Scheduling</v>
      </c>
    </row>
    <row r="3" spans="1:13" x14ac:dyDescent="0.25">
      <c r="A3" s="3" t="s">
        <v>35</v>
      </c>
      <c r="B3" s="3" t="s">
        <v>269</v>
      </c>
      <c r="C3" s="3" t="s">
        <v>270</v>
      </c>
      <c r="D3" s="3" t="s">
        <v>271</v>
      </c>
      <c r="E3" s="3" t="s">
        <v>272</v>
      </c>
      <c r="F3" s="7" t="s">
        <v>1723</v>
      </c>
      <c r="I3" s="3" t="str">
        <f>IFERROR(__xludf.DUMMYFUNCTION("""COMPUTED_VALUE"""),"WH_V1")</f>
        <v>WH_V1</v>
      </c>
      <c r="J3" s="3" t="str">
        <f>IFERROR(__xludf.DUMMYFUNCTION("""COMPUTED_VALUE"""),"A2")</f>
        <v>A2</v>
      </c>
      <c r="K3" s="3" t="str">
        <f>IFERROR(__xludf.DUMMYFUNCTION("""COMPUTED_VALUE"""),"Gate Entry")</f>
        <v>Gate Entry</v>
      </c>
      <c r="L3" s="3" t="str">
        <f>IFERROR(__xludf.DUMMYFUNCTION("""COMPUTED_VALUE"""),"A2.1")</f>
        <v>A2.1</v>
      </c>
      <c r="M3" s="3" t="str">
        <f>IFERROR(__xludf.DUMMYFUNCTION("""COMPUTED_VALUE"""),"Gate Entry &amp; Documentation Verification")</f>
        <v>Gate Entry &amp; Documentation Verification</v>
      </c>
    </row>
    <row r="4" spans="1:13" x14ac:dyDescent="0.25">
      <c r="A4" s="3" t="s">
        <v>35</v>
      </c>
      <c r="B4" s="3" t="s">
        <v>269</v>
      </c>
      <c r="C4" s="3" t="s">
        <v>270</v>
      </c>
      <c r="D4" s="3" t="s">
        <v>280</v>
      </c>
      <c r="E4" s="3" t="s">
        <v>281</v>
      </c>
      <c r="F4" s="7" t="s">
        <v>1723</v>
      </c>
      <c r="I4" s="3" t="str">
        <f>IFERROR(__xludf.DUMMYFUNCTION("""COMPUTED_VALUE"""),"WH_V1")</f>
        <v>WH_V1</v>
      </c>
      <c r="J4" s="3" t="str">
        <f>IFERROR(__xludf.DUMMYFUNCTION("""COMPUTED_VALUE"""),"A2")</f>
        <v>A2</v>
      </c>
      <c r="K4" s="3" t="str">
        <f>IFERROR(__xludf.DUMMYFUNCTION("""COMPUTED_VALUE"""),"Gate Entry")</f>
        <v>Gate Entry</v>
      </c>
      <c r="L4" s="3" t="str">
        <f>IFERROR(__xludf.DUMMYFUNCTION("""COMPUTED_VALUE"""),"A2.2")</f>
        <v>A2.2</v>
      </c>
      <c r="M4" s="3" t="str">
        <f>IFERROR(__xludf.DUMMYFUNCTION("""COMPUTED_VALUE"""),"Gate Release Decision &amp; Capacity Gating")</f>
        <v>Gate Release Decision &amp; Capacity Gating</v>
      </c>
    </row>
    <row r="5" spans="1:13" x14ac:dyDescent="0.25">
      <c r="A5" s="3" t="s">
        <v>35</v>
      </c>
      <c r="B5" s="3" t="s">
        <v>269</v>
      </c>
      <c r="C5" s="3" t="s">
        <v>270</v>
      </c>
      <c r="D5" s="3" t="s">
        <v>291</v>
      </c>
      <c r="E5" s="3" t="s">
        <v>292</v>
      </c>
      <c r="F5" s="7" t="s">
        <v>1723</v>
      </c>
      <c r="I5" s="3" t="str">
        <f>IFERROR(__xludf.DUMMYFUNCTION("""COMPUTED_VALUE"""),"WH_V1")</f>
        <v>WH_V1</v>
      </c>
      <c r="J5" s="3" t="str">
        <f>IFERROR(__xludf.DUMMYFUNCTION("""COMPUTED_VALUE"""),"A2")</f>
        <v>A2</v>
      </c>
      <c r="K5" s="3" t="str">
        <f>IFERROR(__xludf.DUMMYFUNCTION("""COMPUTED_VALUE"""),"Gate Entry")</f>
        <v>Gate Entry</v>
      </c>
      <c r="L5" s="3" t="str">
        <f>IFERROR(__xludf.DUMMYFUNCTION("""COMPUTED_VALUE"""),"A2.3")</f>
        <v>A2.3</v>
      </c>
      <c r="M5" s="3" t="str">
        <f>IFERROR(__xludf.DUMMYFUNCTION("""COMPUTED_VALUE"""),"Manpower Entry Management")</f>
        <v>Manpower Entry Management</v>
      </c>
    </row>
    <row r="6" spans="1:13" x14ac:dyDescent="0.25">
      <c r="A6" s="3" t="s">
        <v>35</v>
      </c>
      <c r="B6" s="3" t="s">
        <v>269</v>
      </c>
      <c r="C6" s="3" t="s">
        <v>270</v>
      </c>
      <c r="D6" s="3" t="s">
        <v>300</v>
      </c>
      <c r="E6" s="3" t="s">
        <v>301</v>
      </c>
      <c r="F6" s="7" t="s">
        <v>1723</v>
      </c>
      <c r="I6" s="3" t="str">
        <f>IFERROR(__xludf.DUMMYFUNCTION("""COMPUTED_VALUE"""),"WH_V1")</f>
        <v>WH_V1</v>
      </c>
      <c r="J6" s="3" t="str">
        <f>IFERROR(__xludf.DUMMYFUNCTION("""COMPUTED_VALUE"""),"A3")</f>
        <v>A3</v>
      </c>
      <c r="K6" s="3" t="str">
        <f>IFERROR(__xludf.DUMMYFUNCTION("""COMPUTED_VALUE"""),"Dock Allotment")</f>
        <v>Dock Allotment</v>
      </c>
      <c r="L6" s="3" t="str">
        <f>IFERROR(__xludf.DUMMYFUNCTION("""COMPUTED_VALUE"""),"A3.1")</f>
        <v>A3.1</v>
      </c>
      <c r="M6" s="3" t="str">
        <f>IFERROR(__xludf.DUMMYFUNCTION("""COMPUTED_VALUE"""),"Dock Management System")</f>
        <v>Dock Management System</v>
      </c>
    </row>
    <row r="7" spans="1:13" x14ac:dyDescent="0.25">
      <c r="A7" s="3" t="s">
        <v>35</v>
      </c>
      <c r="B7" s="3" t="s">
        <v>309</v>
      </c>
      <c r="C7" s="3" t="s">
        <v>310</v>
      </c>
      <c r="D7" s="3" t="s">
        <v>311</v>
      </c>
      <c r="E7" s="3" t="s">
        <v>312</v>
      </c>
      <c r="F7" s="7" t="s">
        <v>1723</v>
      </c>
      <c r="I7" s="3" t="str">
        <f>IFERROR(__xludf.DUMMYFUNCTION("""COMPUTED_VALUE"""),"WH_V1")</f>
        <v>WH_V1</v>
      </c>
      <c r="J7" s="3" t="str">
        <f>IFERROR(__xludf.DUMMYFUNCTION("""COMPUTED_VALUE"""),"A3")</f>
        <v>A3</v>
      </c>
      <c r="K7" s="3" t="str">
        <f>IFERROR(__xludf.DUMMYFUNCTION("""COMPUTED_VALUE"""),"Dock Allotment")</f>
        <v>Dock Allotment</v>
      </c>
      <c r="L7" s="3" t="str">
        <f>IFERROR(__xludf.DUMMYFUNCTION("""COMPUTED_VALUE"""),"A3.2")</f>
        <v>A3.2</v>
      </c>
      <c r="M7" s="3" t="str">
        <f>IFERROR(__xludf.DUMMYFUNCTION("""COMPUTED_VALUE"""),"Dock Buffers")</f>
        <v>Dock Buffers</v>
      </c>
    </row>
    <row r="8" spans="1:13" x14ac:dyDescent="0.25">
      <c r="A8" s="3" t="s">
        <v>35</v>
      </c>
      <c r="B8" s="3" t="s">
        <v>309</v>
      </c>
      <c r="C8" s="3" t="s">
        <v>310</v>
      </c>
      <c r="D8" s="3" t="s">
        <v>408</v>
      </c>
      <c r="E8" s="3" t="s">
        <v>409</v>
      </c>
      <c r="F8" s="7" t="s">
        <v>1723</v>
      </c>
      <c r="I8" s="3" t="str">
        <f>IFERROR(__xludf.DUMMYFUNCTION("""COMPUTED_VALUE"""),"WH_V1")</f>
        <v>WH_V1</v>
      </c>
      <c r="J8" s="3" t="str">
        <f>IFERROR(__xludf.DUMMYFUNCTION("""COMPUTED_VALUE"""),"A4")</f>
        <v>A4</v>
      </c>
      <c r="K8" s="3" t="str">
        <f>IFERROR(__xludf.DUMMYFUNCTION("""COMPUTED_VALUE"""),"Unloading (incl. Palletization)")</f>
        <v>Unloading (incl. Palletization)</v>
      </c>
      <c r="L8" s="3" t="str">
        <f>IFERROR(__xludf.DUMMYFUNCTION("""COMPUTED_VALUE"""),"A4.1")</f>
        <v>A4.1</v>
      </c>
      <c r="M8" s="3" t="str">
        <f>IFERROR(__xludf.DUMMYFUNCTION("""COMPUTED_VALUE"""),"Unloading Operations &amp; Floor Management")</f>
        <v>Unloading Operations &amp; Floor Management</v>
      </c>
    </row>
    <row r="9" spans="1:13" x14ac:dyDescent="0.25">
      <c r="A9" s="3" t="s">
        <v>35</v>
      </c>
      <c r="B9" s="3" t="s">
        <v>309</v>
      </c>
      <c r="C9" s="3" t="s">
        <v>310</v>
      </c>
      <c r="D9" s="3" t="s">
        <v>321</v>
      </c>
      <c r="E9" s="3" t="s">
        <v>322</v>
      </c>
      <c r="F9" s="7" t="s">
        <v>1723</v>
      </c>
      <c r="I9" s="3" t="str">
        <f>IFERROR(__xludf.DUMMYFUNCTION("""COMPUTED_VALUE"""),"WH_V1")</f>
        <v>WH_V1</v>
      </c>
      <c r="J9" s="3" t="str">
        <f>IFERROR(__xludf.DUMMYFUNCTION("""COMPUTED_VALUE"""),"A4")</f>
        <v>A4</v>
      </c>
      <c r="K9" s="3" t="str">
        <f>IFERROR(__xludf.DUMMYFUNCTION("""COMPUTED_VALUE"""),"Unloading (incl. Palletization)")</f>
        <v>Unloading (incl. Palletization)</v>
      </c>
      <c r="L9" s="3" t="str">
        <f>IFERROR(__xludf.DUMMYFUNCTION("""COMPUTED_VALUE"""),"A4.2")</f>
        <v>A4.2</v>
      </c>
      <c r="M9" s="3" t="str">
        <f>IFERROR(__xludf.DUMMYFUNCTION("""COMPUTED_VALUE"""),"Unloading TAT")</f>
        <v>Unloading TAT</v>
      </c>
    </row>
    <row r="10" spans="1:13" x14ac:dyDescent="0.25">
      <c r="A10" s="3" t="s">
        <v>35</v>
      </c>
      <c r="B10" s="3" t="s">
        <v>309</v>
      </c>
      <c r="C10" s="3" t="s">
        <v>310</v>
      </c>
      <c r="D10" s="3" t="s">
        <v>336</v>
      </c>
      <c r="E10" s="3" t="s">
        <v>337</v>
      </c>
      <c r="F10" s="7" t="s">
        <v>1723</v>
      </c>
      <c r="I10" s="3" t="str">
        <f>IFERROR(__xludf.DUMMYFUNCTION("""COMPUTED_VALUE"""),"WH_V1")</f>
        <v>WH_V1</v>
      </c>
      <c r="J10" s="3" t="str">
        <f>IFERROR(__xludf.DUMMYFUNCTION("""COMPUTED_VALUE"""),"A4")</f>
        <v>A4</v>
      </c>
      <c r="K10" s="3" t="str">
        <f>IFERROR(__xludf.DUMMYFUNCTION("""COMPUTED_VALUE"""),"Unloading (incl. Palletization)")</f>
        <v>Unloading (incl. Palletization)</v>
      </c>
      <c r="L10" s="3" t="str">
        <f>IFERROR(__xludf.DUMMYFUNCTION("""COMPUTED_VALUE"""),"A4.3")</f>
        <v>A4.3</v>
      </c>
      <c r="M10" s="3" t="str">
        <f>IFERROR(__xludf.DUMMYFUNCTION("""COMPUTED_VALUE"""),"Weighment &amp; GRN Digitization")</f>
        <v>Weighment &amp; GRN Digitization</v>
      </c>
    </row>
    <row r="11" spans="1:13" x14ac:dyDescent="0.25">
      <c r="A11" s="3" t="s">
        <v>35</v>
      </c>
      <c r="B11" s="3" t="s">
        <v>309</v>
      </c>
      <c r="C11" s="3" t="s">
        <v>310</v>
      </c>
      <c r="D11" s="3" t="s">
        <v>349</v>
      </c>
      <c r="E11" s="3" t="s">
        <v>350</v>
      </c>
      <c r="F11" s="7" t="s">
        <v>1723</v>
      </c>
      <c r="I11" s="3" t="str">
        <f>IFERROR(__xludf.DUMMYFUNCTION("""COMPUTED_VALUE"""),"WH_V1")</f>
        <v>WH_V1</v>
      </c>
      <c r="J11" s="3" t="str">
        <f>IFERROR(__xludf.DUMMYFUNCTION("""COMPUTED_VALUE"""),"A5")</f>
        <v>A5</v>
      </c>
      <c r="K11" s="3" t="str">
        <f>IFERROR(__xludf.DUMMYFUNCTION("""COMPUTED_VALUE"""),"Sorting &amp; Grading")</f>
        <v>Sorting &amp; Grading</v>
      </c>
      <c r="L11" s="3" t="str">
        <f>IFERROR(__xludf.DUMMYFUNCTION("""COMPUTED_VALUE"""),"A5.1")</f>
        <v>A5.1</v>
      </c>
      <c r="M11" s="3" t="str">
        <f>IFERROR(__xludf.DUMMYFUNCTION("""COMPUTED_VALUE"""),"Sorting &amp; Grading Norms")</f>
        <v>Sorting &amp; Grading Norms</v>
      </c>
    </row>
    <row r="12" spans="1:13" x14ac:dyDescent="0.25">
      <c r="A12" s="3" t="s">
        <v>35</v>
      </c>
      <c r="B12" s="3" t="s">
        <v>309</v>
      </c>
      <c r="C12" s="3" t="s">
        <v>310</v>
      </c>
      <c r="D12" s="3" t="s">
        <v>358</v>
      </c>
      <c r="E12" s="3" t="s">
        <v>359</v>
      </c>
      <c r="F12" s="7" t="s">
        <v>1723</v>
      </c>
      <c r="I12" s="3" t="str">
        <f>IFERROR(__xludf.DUMMYFUNCTION("""COMPUTED_VALUE"""),"WH_V1")</f>
        <v>WH_V1</v>
      </c>
      <c r="J12" s="3" t="str">
        <f>IFERROR(__xludf.DUMMYFUNCTION("""COMPUTED_VALUE"""),"A5")</f>
        <v>A5</v>
      </c>
      <c r="K12" s="3" t="str">
        <f>IFERROR(__xludf.DUMMYFUNCTION("""COMPUTED_VALUE"""),"Sorting &amp; Grading")</f>
        <v>Sorting &amp; Grading</v>
      </c>
      <c r="L12" s="3" t="str">
        <f>IFERROR(__xludf.DUMMYFUNCTION("""COMPUTED_VALUE"""),"A5.2")</f>
        <v>A5.2</v>
      </c>
      <c r="M12" s="3" t="str">
        <f>IFERROR(__xludf.DUMMYFUNCTION("""COMPUTED_VALUE"""),"Manpower Planning for Processing")</f>
        <v>Manpower Planning for Processing</v>
      </c>
    </row>
    <row r="13" spans="1:13" x14ac:dyDescent="0.25">
      <c r="A13" s="3" t="s">
        <v>35</v>
      </c>
      <c r="B13" s="3" t="s">
        <v>309</v>
      </c>
      <c r="C13" s="3" t="s">
        <v>310</v>
      </c>
      <c r="D13" s="3" t="s">
        <v>367</v>
      </c>
      <c r="E13" s="3" t="s">
        <v>368</v>
      </c>
      <c r="F13" s="7" t="s">
        <v>1723</v>
      </c>
      <c r="I13" s="3" t="str">
        <f>IFERROR(__xludf.DUMMYFUNCTION("""COMPUTED_VALUE"""),"WH_V1")</f>
        <v>WH_V1</v>
      </c>
      <c r="J13" s="3" t="str">
        <f>IFERROR(__xludf.DUMMYFUNCTION("""COMPUTED_VALUE"""),"A6")</f>
        <v>A6</v>
      </c>
      <c r="K13" s="3" t="str">
        <f>IFERROR(__xludf.DUMMYFUNCTION("""COMPUTED_VALUE"""),"Packing")</f>
        <v>Packing</v>
      </c>
      <c r="L13" s="3" t="str">
        <f>IFERROR(__xludf.DUMMYFUNCTION("""COMPUTED_VALUE"""),"A6.1")</f>
        <v>A6.1</v>
      </c>
      <c r="M13" s="3" t="str">
        <f>IFERROR(__xludf.DUMMYFUNCTION("""COMPUTED_VALUE"""),"Packing Norms")</f>
        <v>Packing Norms</v>
      </c>
    </row>
    <row r="14" spans="1:13" x14ac:dyDescent="0.25">
      <c r="A14" s="3" t="s">
        <v>35</v>
      </c>
      <c r="B14" s="3" t="s">
        <v>309</v>
      </c>
      <c r="C14" s="3" t="s">
        <v>310</v>
      </c>
      <c r="D14" s="3" t="s">
        <v>381</v>
      </c>
      <c r="E14" s="3" t="s">
        <v>382</v>
      </c>
      <c r="F14" s="7" t="s">
        <v>1723</v>
      </c>
      <c r="I14" s="3" t="str">
        <f>IFERROR(__xludf.DUMMYFUNCTION("""COMPUTED_VALUE"""),"WH_V1")</f>
        <v>WH_V1</v>
      </c>
      <c r="J14" s="3" t="str">
        <f>IFERROR(__xludf.DUMMYFUNCTION("""COMPUTED_VALUE"""),"A6")</f>
        <v>A6</v>
      </c>
      <c r="K14" s="3" t="str">
        <f>IFERROR(__xludf.DUMMYFUNCTION("""COMPUTED_VALUE"""),"Packing")</f>
        <v>Packing</v>
      </c>
      <c r="L14" s="3" t="str">
        <f>IFERROR(__xludf.DUMMYFUNCTION("""COMPUTED_VALUE"""),"A6.2")</f>
        <v>A6.2</v>
      </c>
      <c r="M14" s="3" t="str">
        <f>IFERROR(__xludf.DUMMYFUNCTION("""COMPUTED_VALUE"""),"Packing Productivity")</f>
        <v>Packing Productivity</v>
      </c>
    </row>
    <row r="15" spans="1:13" x14ac:dyDescent="0.25">
      <c r="A15" s="3" t="s">
        <v>35</v>
      </c>
      <c r="B15" s="3" t="s">
        <v>309</v>
      </c>
      <c r="C15" s="3" t="s">
        <v>310</v>
      </c>
      <c r="D15" s="3" t="s">
        <v>390</v>
      </c>
      <c r="E15" s="3" t="s">
        <v>391</v>
      </c>
      <c r="F15" s="7" t="s">
        <v>1723</v>
      </c>
      <c r="I15" s="3" t="str">
        <f>IFERROR(__xludf.DUMMYFUNCTION("""COMPUTED_VALUE"""),"WH_V1")</f>
        <v>WH_V1</v>
      </c>
      <c r="J15" s="3" t="str">
        <f>IFERROR(__xludf.DUMMYFUNCTION("""COMPUTED_VALUE"""),"A6")</f>
        <v>A6</v>
      </c>
      <c r="K15" s="3" t="str">
        <f>IFERROR(__xludf.DUMMYFUNCTION("""COMPUTED_VALUE"""),"Packing")</f>
        <v>Packing</v>
      </c>
      <c r="L15" s="3" t="str">
        <f>IFERROR(__xludf.DUMMYFUNCTION("""COMPUTED_VALUE"""),"A6.3")</f>
        <v>A6.3</v>
      </c>
      <c r="M15" s="3" t="str">
        <f>IFERROR(__xludf.DUMMYFUNCTION("""COMPUTED_VALUE"""),"Packing Accuracy % (Units/Cases Packed Correctly)")</f>
        <v>Packing Accuracy % (Units/Cases Packed Correctly)</v>
      </c>
    </row>
    <row r="16" spans="1:13" x14ac:dyDescent="0.25">
      <c r="A16" s="3" t="s">
        <v>35</v>
      </c>
      <c r="B16" s="3" t="s">
        <v>309</v>
      </c>
      <c r="C16" s="3" t="s">
        <v>310</v>
      </c>
      <c r="D16" s="3" t="s">
        <v>399</v>
      </c>
      <c r="E16" s="3" t="s">
        <v>400</v>
      </c>
      <c r="F16" s="7" t="s">
        <v>1723</v>
      </c>
      <c r="I16" s="3" t="str">
        <f>IFERROR(__xludf.DUMMYFUNCTION("""COMPUTED_VALUE"""),"WH_V1")</f>
        <v>WH_V1</v>
      </c>
      <c r="J16" s="3" t="str">
        <f>IFERROR(__xludf.DUMMYFUNCTION("""COMPUTED_VALUE"""),"A6")</f>
        <v>A6</v>
      </c>
      <c r="K16" s="3" t="str">
        <f>IFERROR(__xludf.DUMMYFUNCTION("""COMPUTED_VALUE"""),"Packing")</f>
        <v>Packing</v>
      </c>
      <c r="L16" s="3" t="str">
        <f>IFERROR(__xludf.DUMMYFUNCTION("""COMPUTED_VALUE"""),"A6.4")</f>
        <v>A6.4</v>
      </c>
      <c r="M16" s="3" t="str">
        <f>IFERROR(__xludf.DUMMYFUNCTION("""COMPUTED_VALUE"""),"Repacking Reduction Targets")</f>
        <v>Repacking Reduction Targets</v>
      </c>
    </row>
    <row r="17" spans="1:13" x14ac:dyDescent="0.25">
      <c r="A17" s="3" t="s">
        <v>35</v>
      </c>
      <c r="B17" s="3" t="s">
        <v>417</v>
      </c>
      <c r="C17" s="3" t="s">
        <v>418</v>
      </c>
      <c r="D17" s="3" t="s">
        <v>419</v>
      </c>
      <c r="E17" s="3" t="s">
        <v>420</v>
      </c>
      <c r="F17" s="7" t="s">
        <v>1723</v>
      </c>
      <c r="I17" s="3" t="str">
        <f>IFERROR(__xludf.DUMMYFUNCTION("""COMPUTED_VALUE"""),"WH_V1")</f>
        <v>WH_V1</v>
      </c>
      <c r="J17" s="3" t="str">
        <f>IFERROR(__xludf.DUMMYFUNCTION("""COMPUTED_VALUE"""),"A6")</f>
        <v>A6</v>
      </c>
      <c r="K17" s="3" t="str">
        <f>IFERROR(__xludf.DUMMYFUNCTION("""COMPUTED_VALUE"""),"Packing")</f>
        <v>Packing</v>
      </c>
      <c r="L17" s="3" t="str">
        <f>IFERROR(__xludf.DUMMYFUNCTION("""COMPUTED_VALUE"""),"A6.5")</f>
        <v>A6.5</v>
      </c>
      <c r="M17" s="3" t="str">
        <f>IFERROR(__xludf.DUMMYFUNCTION("""COMPUTED_VALUE"""),"Shrinkage &amp; Seasonal Loss Management")</f>
        <v>Shrinkage &amp; Seasonal Loss Management</v>
      </c>
    </row>
    <row r="18" spans="1:13" x14ac:dyDescent="0.25">
      <c r="A18" s="3" t="s">
        <v>35</v>
      </c>
      <c r="B18" s="3" t="s">
        <v>417</v>
      </c>
      <c r="C18" s="3" t="s">
        <v>418</v>
      </c>
      <c r="D18" s="3" t="s">
        <v>428</v>
      </c>
      <c r="E18" s="3" t="s">
        <v>429</v>
      </c>
      <c r="F18" s="7" t="s">
        <v>1723</v>
      </c>
      <c r="I18" s="3" t="str">
        <f>IFERROR(__xludf.DUMMYFUNCTION("""COMPUTED_VALUE"""),"WH_V1")</f>
        <v>WH_V1</v>
      </c>
      <c r="J18" s="3" t="str">
        <f>IFERROR(__xludf.DUMMYFUNCTION("""COMPUTED_VALUE"""),"A7")</f>
        <v>A7</v>
      </c>
      <c r="K18" s="3" t="str">
        <f>IFERROR(__xludf.DUMMYFUNCTION("""COMPUTED_VALUE"""),"Staging for Picking")</f>
        <v>Staging for Picking</v>
      </c>
      <c r="L18" s="3" t="str">
        <f>IFERROR(__xludf.DUMMYFUNCTION("""COMPUTED_VALUE"""),"A7.1")</f>
        <v>A7.1</v>
      </c>
      <c r="M18" s="3" t="str">
        <f>IFERROR(__xludf.DUMMYFUNCTION("""COMPUTED_VALUE"""),"Staging &amp; Holding Zone Management")</f>
        <v>Staging &amp; Holding Zone Management</v>
      </c>
    </row>
    <row r="19" spans="1:13" x14ac:dyDescent="0.25">
      <c r="A19" s="3" t="s">
        <v>35</v>
      </c>
      <c r="B19" s="3" t="s">
        <v>417</v>
      </c>
      <c r="C19" s="3" t="s">
        <v>418</v>
      </c>
      <c r="D19" s="3" t="s">
        <v>437</v>
      </c>
      <c r="E19" s="3" t="s">
        <v>438</v>
      </c>
      <c r="F19" s="7" t="s">
        <v>1723</v>
      </c>
      <c r="I19" s="3" t="str">
        <f>IFERROR(__xludf.DUMMYFUNCTION("""COMPUTED_VALUE"""),"WH_V1")</f>
        <v>WH_V1</v>
      </c>
      <c r="J19" s="3" t="str">
        <f>IFERROR(__xludf.DUMMYFUNCTION("""COMPUTED_VALUE"""),"A8")</f>
        <v>A8</v>
      </c>
      <c r="K19" s="3" t="str">
        <f>IFERROR(__xludf.DUMMYFUNCTION("""COMPUTED_VALUE"""),"Picking")</f>
        <v>Picking</v>
      </c>
      <c r="L19" s="3" t="str">
        <f>IFERROR(__xludf.DUMMYFUNCTION("""COMPUTED_VALUE"""),"A8.1")</f>
        <v>A8.1</v>
      </c>
      <c r="M19" s="3" t="str">
        <f>IFERROR(__xludf.DUMMYFUNCTION("""COMPUTED_VALUE"""),"Picking Accuracy %")</f>
        <v>Picking Accuracy %</v>
      </c>
    </row>
    <row r="20" spans="1:13" x14ac:dyDescent="0.25">
      <c r="A20" s="3" t="s">
        <v>35</v>
      </c>
      <c r="B20" s="3" t="s">
        <v>417</v>
      </c>
      <c r="C20" s="3" t="s">
        <v>418</v>
      </c>
      <c r="D20" s="3" t="s">
        <v>446</v>
      </c>
      <c r="E20" s="3" t="s">
        <v>447</v>
      </c>
      <c r="F20" s="7" t="s">
        <v>1723</v>
      </c>
      <c r="I20" s="3" t="str">
        <f>IFERROR(__xludf.DUMMYFUNCTION("""COMPUTED_VALUE"""),"WH_V1")</f>
        <v>WH_V1</v>
      </c>
      <c r="J20" s="3" t="str">
        <f>IFERROR(__xludf.DUMMYFUNCTION("""COMPUTED_VALUE"""),"A8")</f>
        <v>A8</v>
      </c>
      <c r="K20" s="3" t="str">
        <f>IFERROR(__xludf.DUMMYFUNCTION("""COMPUTED_VALUE"""),"Picking")</f>
        <v>Picking</v>
      </c>
      <c r="L20" s="3" t="str">
        <f>IFERROR(__xludf.DUMMYFUNCTION("""COMPUTED_VALUE"""),"A8.2")</f>
        <v>A8.2</v>
      </c>
      <c r="M20" s="3" t="str">
        <f>IFERROR(__xludf.DUMMYFUNCTION("""COMPUTED_VALUE"""),"Picking Productivity")</f>
        <v>Picking Productivity</v>
      </c>
    </row>
    <row r="21" spans="1:13" x14ac:dyDescent="0.25">
      <c r="A21" s="3" t="s">
        <v>35</v>
      </c>
      <c r="B21" s="3" t="s">
        <v>455</v>
      </c>
      <c r="C21" s="3" t="s">
        <v>456</v>
      </c>
      <c r="D21" s="3" t="s">
        <v>457</v>
      </c>
      <c r="E21" s="3" t="s">
        <v>458</v>
      </c>
      <c r="F21" s="7" t="s">
        <v>1723</v>
      </c>
      <c r="I21" s="3" t="str">
        <f>IFERROR(__xludf.DUMMYFUNCTION("""COMPUTED_VALUE"""),"WH_V1")</f>
        <v>WH_V1</v>
      </c>
      <c r="J21" s="3" t="str">
        <f>IFERROR(__xludf.DUMMYFUNCTION("""COMPUTED_VALUE"""),"A8")</f>
        <v>A8</v>
      </c>
      <c r="K21" s="3" t="str">
        <f>IFERROR(__xludf.DUMMYFUNCTION("""COMPUTED_VALUE"""),"Picking")</f>
        <v>Picking</v>
      </c>
      <c r="L21" s="3" t="str">
        <f>IFERROR(__xludf.DUMMYFUNCTION("""COMPUTED_VALUE"""),"A8.3")</f>
        <v>A8.3</v>
      </c>
      <c r="M21" s="3" t="str">
        <f>IFERROR(__xludf.DUMMYFUNCTION("""COMPUTED_VALUE"""),"Not Found % (Picker Unable to Locate SKU)")</f>
        <v>Not Found % (Picker Unable to Locate SKU)</v>
      </c>
    </row>
    <row r="22" spans="1:13" x14ac:dyDescent="0.25">
      <c r="A22" s="3" t="s">
        <v>35</v>
      </c>
      <c r="B22" s="3" t="s">
        <v>455</v>
      </c>
      <c r="C22" s="3" t="s">
        <v>456</v>
      </c>
      <c r="D22" s="3" t="s">
        <v>542</v>
      </c>
      <c r="E22" s="3" t="s">
        <v>543</v>
      </c>
      <c r="F22" s="7" t="s">
        <v>1723</v>
      </c>
      <c r="I22" s="3" t="str">
        <f>IFERROR(__xludf.DUMMYFUNCTION("""COMPUTED_VALUE"""),"WH_V1")</f>
        <v>WH_V1</v>
      </c>
      <c r="J22" s="3" t="str">
        <f>IFERROR(__xludf.DUMMYFUNCTION("""COMPUTED_VALUE"""),"A9")</f>
        <v>A9</v>
      </c>
      <c r="K22" s="3" t="str">
        <f>IFERROR(__xludf.DUMMYFUNCTION("""COMPUTED_VALUE"""),"Allocation")</f>
        <v>Allocation</v>
      </c>
      <c r="L22" s="3" t="str">
        <f>IFERROR(__xludf.DUMMYFUNCTION("""COMPUTED_VALUE"""),"A9.1")</f>
        <v>A9.1</v>
      </c>
      <c r="M22" s="3" t="str">
        <f>IFERROR(__xludf.DUMMYFUNCTION("""COMPUTED_VALUE"""),"Allocation (System vs. Physical)")</f>
        <v>Allocation (System vs. Physical)</v>
      </c>
    </row>
    <row r="23" spans="1:13" x14ac:dyDescent="0.25">
      <c r="A23" s="3" t="s">
        <v>35</v>
      </c>
      <c r="B23" s="3" t="s">
        <v>455</v>
      </c>
      <c r="C23" s="3" t="s">
        <v>456</v>
      </c>
      <c r="D23" s="3" t="s">
        <v>551</v>
      </c>
      <c r="E23" s="3" t="s">
        <v>552</v>
      </c>
      <c r="F23" s="7" t="s">
        <v>1723</v>
      </c>
      <c r="I23" s="3" t="str">
        <f>IFERROR(__xludf.DUMMYFUNCTION("""COMPUTED_VALUE"""),"WH_V1")</f>
        <v>WH_V1</v>
      </c>
      <c r="J23" s="3" t="str">
        <f>IFERROR(__xludf.DUMMYFUNCTION("""COMPUTED_VALUE"""),"A10")</f>
        <v>A10</v>
      </c>
      <c r="K23" s="3" t="str">
        <f>IFERROR(__xludf.DUMMYFUNCTION("""COMPUTED_VALUE"""),"Dispatch")</f>
        <v>Dispatch</v>
      </c>
      <c r="L23" s="3" t="str">
        <f>IFERROR(__xludf.DUMMYFUNCTION("""COMPUTED_VALUE"""),"A10.1")</f>
        <v>A10.1</v>
      </c>
      <c r="M23" s="3" t="str">
        <f>IFERROR(__xludf.DUMMYFUNCTION("""COMPUTED_VALUE"""),"Dispatch &amp; Loading Operations")</f>
        <v>Dispatch &amp; Loading Operations</v>
      </c>
    </row>
    <row r="24" spans="1:13" x14ac:dyDescent="0.25">
      <c r="A24" s="3" t="s">
        <v>35</v>
      </c>
      <c r="B24" s="3" t="s">
        <v>455</v>
      </c>
      <c r="C24" s="3" t="s">
        <v>456</v>
      </c>
      <c r="D24" s="3" t="s">
        <v>560</v>
      </c>
      <c r="E24" s="3" t="s">
        <v>561</v>
      </c>
      <c r="F24" s="7" t="s">
        <v>1723</v>
      </c>
      <c r="I24" s="3" t="str">
        <f>IFERROR(__xludf.DUMMYFUNCTION("""COMPUTED_VALUE"""),"WH_V1")</f>
        <v>WH_V1</v>
      </c>
      <c r="J24" s="3" t="str">
        <f>IFERROR(__xludf.DUMMYFUNCTION("""COMPUTED_VALUE"""),"A10")</f>
        <v>A10</v>
      </c>
      <c r="K24" s="3" t="str">
        <f>IFERROR(__xludf.DUMMYFUNCTION("""COMPUTED_VALUE"""),"Dispatch")</f>
        <v>Dispatch</v>
      </c>
      <c r="L24" s="3" t="str">
        <f>IFERROR(__xludf.DUMMYFUNCTION("""COMPUTED_VALUE"""),"A10.2")</f>
        <v>A10.2</v>
      </c>
      <c r="M24" s="3" t="str">
        <f>IFERROR(__xludf.DUMMYFUNCTION("""COMPUTED_VALUE"""),"STN Ready Time (Created to Ready)")</f>
        <v>STN Ready Time (Created to Ready)</v>
      </c>
    </row>
    <row r="25" spans="1:13" x14ac:dyDescent="0.25">
      <c r="A25" s="3" t="s">
        <v>35</v>
      </c>
      <c r="B25" s="3" t="s">
        <v>455</v>
      </c>
      <c r="C25" s="3" t="s">
        <v>456</v>
      </c>
      <c r="D25" s="3" t="s">
        <v>569</v>
      </c>
      <c r="E25" s="3" t="s">
        <v>570</v>
      </c>
      <c r="F25" s="7" t="s">
        <v>1723</v>
      </c>
      <c r="I25" s="3" t="str">
        <f>IFERROR(__xludf.DUMMYFUNCTION("""COMPUTED_VALUE"""),"WH_V1")</f>
        <v>WH_V1</v>
      </c>
      <c r="J25" s="3" t="str">
        <f>IFERROR(__xludf.DUMMYFUNCTION("""COMPUTED_VALUE"""),"A10")</f>
        <v>A10</v>
      </c>
      <c r="K25" s="3" t="str">
        <f>IFERROR(__xludf.DUMMYFUNCTION("""COMPUTED_VALUE"""),"Dispatch")</f>
        <v>Dispatch</v>
      </c>
      <c r="L25" s="3" t="str">
        <f>IFERROR(__xludf.DUMMYFUNCTION("""COMPUTED_VALUE"""),"A10.3")</f>
        <v>A10.3</v>
      </c>
      <c r="M25" s="3" t="str">
        <f>IFERROR(__xludf.DUMMYFUNCTION("""COMPUTED_VALUE"""),"Outbound Vehicle Wait Time (Arrival to Exit)")</f>
        <v>Outbound Vehicle Wait Time (Arrival to Exit)</v>
      </c>
    </row>
    <row r="26" spans="1:13" x14ac:dyDescent="0.25">
      <c r="A26" s="3" t="s">
        <v>35</v>
      </c>
      <c r="B26" s="3" t="s">
        <v>455</v>
      </c>
      <c r="C26" s="3" t="s">
        <v>456</v>
      </c>
      <c r="D26" s="3" t="s">
        <v>578</v>
      </c>
      <c r="E26" s="3" t="s">
        <v>579</v>
      </c>
      <c r="F26" s="7" t="s">
        <v>1723</v>
      </c>
      <c r="I26" s="3" t="str">
        <f>IFERROR(__xludf.DUMMYFUNCTION("""COMPUTED_VALUE"""),"WH_V1")</f>
        <v>WH_V1</v>
      </c>
      <c r="J26" s="3" t="str">
        <f>IFERROR(__xludf.DUMMYFUNCTION("""COMPUTED_VALUE"""),"A10")</f>
        <v>A10</v>
      </c>
      <c r="K26" s="3" t="str">
        <f>IFERROR(__xludf.DUMMYFUNCTION("""COMPUTED_VALUE"""),"Dispatch")</f>
        <v>Dispatch</v>
      </c>
      <c r="L26" s="3" t="str">
        <f>IFERROR(__xludf.DUMMYFUNCTION("""COMPUTED_VALUE"""),"A10.4")</f>
        <v>A10.4</v>
      </c>
      <c r="M26" s="3" t="str">
        <f>IFERROR(__xludf.DUMMYFUNCTION("""COMPUTED_VALUE"""),"Dispatch SLA % (Orders Dispatched On Time)")</f>
        <v>Dispatch SLA % (Orders Dispatched On Time)</v>
      </c>
    </row>
    <row r="27" spans="1:13" x14ac:dyDescent="0.25">
      <c r="A27" s="3" t="s">
        <v>35</v>
      </c>
      <c r="B27" s="3" t="s">
        <v>455</v>
      </c>
      <c r="C27" s="3" t="s">
        <v>456</v>
      </c>
      <c r="D27" s="3" t="s">
        <v>466</v>
      </c>
      <c r="E27" s="3" t="s">
        <v>467</v>
      </c>
      <c r="F27" s="7" t="s">
        <v>1723</v>
      </c>
      <c r="I27" s="3" t="str">
        <f>IFERROR(__xludf.DUMMYFUNCTION("""COMPUTED_VALUE"""),"WH_V1")</f>
        <v>WH_V1</v>
      </c>
      <c r="J27" s="3" t="str">
        <f>IFERROR(__xludf.DUMMYFUNCTION("""COMPUTED_VALUE"""),"A11")</f>
        <v>A11</v>
      </c>
      <c r="K27" s="3" t="str">
        <f>IFERROR(__xludf.DUMMYFUNCTION("""COMPUTED_VALUE"""),"Quality Management (Governance)")</f>
        <v>Quality Management (Governance)</v>
      </c>
      <c r="L27" s="3" t="str">
        <f>IFERROR(__xludf.DUMMYFUNCTION("""COMPUTED_VALUE"""),"A11.1")</f>
        <v>A11.1</v>
      </c>
      <c r="M27" s="3" t="str">
        <f>IFERROR(__xludf.DUMMYFUNCTION("""COMPUTED_VALUE"""),"QMS Framework")</f>
        <v>QMS Framework</v>
      </c>
    </row>
    <row r="28" spans="1:13" x14ac:dyDescent="0.25">
      <c r="A28" s="3" t="s">
        <v>35</v>
      </c>
      <c r="B28" s="3" t="s">
        <v>455</v>
      </c>
      <c r="C28" s="3" t="s">
        <v>456</v>
      </c>
      <c r="D28" s="3" t="s">
        <v>475</v>
      </c>
      <c r="E28" s="3" t="s">
        <v>476</v>
      </c>
      <c r="F28" s="7" t="s">
        <v>1723</v>
      </c>
      <c r="I28" s="3" t="str">
        <f>IFERROR(__xludf.DUMMYFUNCTION("""COMPUTED_VALUE"""),"WH_V1")</f>
        <v>WH_V1</v>
      </c>
      <c r="J28" s="3" t="str">
        <f>IFERROR(__xludf.DUMMYFUNCTION("""COMPUTED_VALUE"""),"A11")</f>
        <v>A11</v>
      </c>
      <c r="K28" s="3" t="str">
        <f>IFERROR(__xludf.DUMMYFUNCTION("""COMPUTED_VALUE"""),"Quality Management (Governance)")</f>
        <v>Quality Management (Governance)</v>
      </c>
      <c r="L28" s="3" t="str">
        <f>IFERROR(__xludf.DUMMYFUNCTION("""COMPUTED_VALUE"""),"A11.2")</f>
        <v>A11.2</v>
      </c>
      <c r="M28" s="3" t="str">
        <f>IFERROR(__xludf.DUMMYFUNCTION("""COMPUTED_VALUE"""),"Return to Vendor Policy")</f>
        <v>Return to Vendor Policy</v>
      </c>
    </row>
    <row r="29" spans="1:13" x14ac:dyDescent="0.25">
      <c r="A29" s="3" t="s">
        <v>35</v>
      </c>
      <c r="B29" s="3" t="s">
        <v>455</v>
      </c>
      <c r="C29" s="3" t="s">
        <v>456</v>
      </c>
      <c r="D29" s="3" t="s">
        <v>484</v>
      </c>
      <c r="E29" s="3" t="s">
        <v>485</v>
      </c>
      <c r="F29" s="7" t="s">
        <v>1723</v>
      </c>
      <c r="I29" s="3" t="str">
        <f>IFERROR(__xludf.DUMMYFUNCTION("""COMPUTED_VALUE"""),"WH_V1")</f>
        <v>WH_V1</v>
      </c>
      <c r="J29" s="3" t="str">
        <f>IFERROR(__xludf.DUMMYFUNCTION("""COMPUTED_VALUE"""),"A11")</f>
        <v>A11</v>
      </c>
      <c r="K29" s="3" t="str">
        <f>IFERROR(__xludf.DUMMYFUNCTION("""COMPUTED_VALUE"""),"Quality Management (Governance)")</f>
        <v>Quality Management (Governance)</v>
      </c>
      <c r="L29" s="3" t="str">
        <f>IFERROR(__xludf.DUMMYFUNCTION("""COMPUTED_VALUE"""),"A11.3")</f>
        <v>A11.3</v>
      </c>
      <c r="M29" s="3" t="str">
        <f>IFERROR(__xludf.DUMMYFUNCTION("""COMPUTED_VALUE"""),"Customer Complaint Tracking")</f>
        <v>Customer Complaint Tracking</v>
      </c>
    </row>
    <row r="30" spans="1:13" x14ac:dyDescent="0.25">
      <c r="A30" s="3" t="s">
        <v>35</v>
      </c>
      <c r="B30" s="3" t="s">
        <v>455</v>
      </c>
      <c r="C30" s="3" t="s">
        <v>456</v>
      </c>
      <c r="D30" s="3" t="s">
        <v>493</v>
      </c>
      <c r="E30" s="3" t="s">
        <v>494</v>
      </c>
      <c r="F30" s="7" t="s">
        <v>1723</v>
      </c>
      <c r="I30" s="3" t="str">
        <f>IFERROR(__xludf.DUMMYFUNCTION("""COMPUTED_VALUE"""),"WH_V1")</f>
        <v>WH_V1</v>
      </c>
      <c r="J30" s="3" t="str">
        <f>IFERROR(__xludf.DUMMYFUNCTION("""COMPUTED_VALUE"""),"A11")</f>
        <v>A11</v>
      </c>
      <c r="K30" s="3" t="str">
        <f>IFERROR(__xludf.DUMMYFUNCTION("""COMPUTED_VALUE"""),"Quality Management (Governance)")</f>
        <v>Quality Management (Governance)</v>
      </c>
      <c r="L30" s="3" t="str">
        <f>IFERROR(__xludf.DUMMYFUNCTION("""COMPUTED_VALUE"""),"A11.4")</f>
        <v>A11.4</v>
      </c>
      <c r="M30" s="3" t="str">
        <f>IFERROR(__xludf.DUMMYFUNCTION("""COMPUTED_VALUE"""),"Safety / Near-Miss Incidents")</f>
        <v>Safety / Near-Miss Incidents</v>
      </c>
    </row>
    <row r="31" spans="1:13" x14ac:dyDescent="0.25">
      <c r="A31" s="3" t="s">
        <v>35</v>
      </c>
      <c r="B31" s="3" t="s">
        <v>455</v>
      </c>
      <c r="C31" s="3" t="s">
        <v>456</v>
      </c>
      <c r="D31" s="3" t="s">
        <v>502</v>
      </c>
      <c r="E31" s="3" t="s">
        <v>503</v>
      </c>
      <c r="F31" s="7" t="s">
        <v>1723</v>
      </c>
      <c r="I31" s="3" t="str">
        <f>IFERROR(__xludf.DUMMYFUNCTION("""COMPUTED_VALUE"""),"WH_V1")</f>
        <v>WH_V1</v>
      </c>
      <c r="J31" s="3" t="str">
        <f>IFERROR(__xludf.DUMMYFUNCTION("""COMPUTED_VALUE"""),"A11")</f>
        <v>A11</v>
      </c>
      <c r="K31" s="3" t="str">
        <f>IFERROR(__xludf.DUMMYFUNCTION("""COMPUTED_VALUE"""),"Quality Management (Governance)")</f>
        <v>Quality Management (Governance)</v>
      </c>
      <c r="L31" s="3" t="str">
        <f>IFERROR(__xludf.DUMMYFUNCTION("""COMPUTED_VALUE"""),"A11.5")</f>
        <v>A11.5</v>
      </c>
      <c r="M31" s="3" t="str">
        <f>IFERROR(__xludf.DUMMYFUNCTION("""COMPUTED_VALUE"""),"Chiller/Freezer Temperature Compliance %")</f>
        <v>Chiller/Freezer Temperature Compliance %</v>
      </c>
    </row>
    <row r="32" spans="1:13" x14ac:dyDescent="0.25">
      <c r="A32" s="3" t="s">
        <v>35</v>
      </c>
      <c r="B32" s="3" t="s">
        <v>455</v>
      </c>
      <c r="C32" s="3" t="s">
        <v>456</v>
      </c>
      <c r="D32" s="3" t="s">
        <v>515</v>
      </c>
      <c r="E32" s="3" t="s">
        <v>516</v>
      </c>
      <c r="F32" s="7" t="s">
        <v>1723</v>
      </c>
      <c r="I32" s="3" t="str">
        <f>IFERROR(__xludf.DUMMYFUNCTION("""COMPUTED_VALUE"""),"WH_V1")</f>
        <v>WH_V1</v>
      </c>
      <c r="J32" s="3" t="str">
        <f>IFERROR(__xludf.DUMMYFUNCTION("""COMPUTED_VALUE"""),"A11")</f>
        <v>A11</v>
      </c>
      <c r="K32" s="3" t="str">
        <f>IFERROR(__xludf.DUMMYFUNCTION("""COMPUTED_VALUE"""),"Quality Management (Governance)")</f>
        <v>Quality Management (Governance)</v>
      </c>
      <c r="L32" s="3" t="str">
        <f>IFERROR(__xludf.DUMMYFUNCTION("""COMPUTED_VALUE"""),"A11.6")</f>
        <v>A11.6</v>
      </c>
      <c r="M32" s="3" t="str">
        <f>IFERROR(__xludf.DUMMYFUNCTION("""COMPUTED_VALUE"""),"Inbound Quality Check Norms")</f>
        <v>Inbound Quality Check Norms</v>
      </c>
    </row>
    <row r="33" spans="1:13" x14ac:dyDescent="0.25">
      <c r="A33" s="3" t="s">
        <v>35</v>
      </c>
      <c r="B33" s="3" t="s">
        <v>455</v>
      </c>
      <c r="C33" s="3" t="s">
        <v>456</v>
      </c>
      <c r="D33" s="3" t="s">
        <v>524</v>
      </c>
      <c r="E33" s="3" t="s">
        <v>525</v>
      </c>
      <c r="F33" s="7" t="s">
        <v>1723</v>
      </c>
      <c r="I33" s="3" t="str">
        <f>IFERROR(__xludf.DUMMYFUNCTION("""COMPUTED_VALUE"""),"WH_V1")</f>
        <v>WH_V1</v>
      </c>
      <c r="J33" s="3" t="str">
        <f>IFERROR(__xludf.DUMMYFUNCTION("""COMPUTED_VALUE"""),"A11")</f>
        <v>A11</v>
      </c>
      <c r="K33" s="3" t="str">
        <f>IFERROR(__xludf.DUMMYFUNCTION("""COMPUTED_VALUE"""),"Quality Management (Governance)")</f>
        <v>Quality Management (Governance)</v>
      </c>
      <c r="L33" s="3" t="str">
        <f>IFERROR(__xludf.DUMMYFUNCTION("""COMPUTED_VALUE"""),"A11.7")</f>
        <v>A11.7</v>
      </c>
      <c r="M33" s="3" t="str">
        <f>IFERROR(__xludf.DUMMYFUNCTION("""COMPUTED_VALUE"""),"5S Implementation")</f>
        <v>5S Implementation</v>
      </c>
    </row>
    <row r="34" spans="1:13" x14ac:dyDescent="0.25">
      <c r="A34" s="3" t="s">
        <v>35</v>
      </c>
      <c r="B34" s="3" t="s">
        <v>455</v>
      </c>
      <c r="C34" s="3" t="s">
        <v>456</v>
      </c>
      <c r="D34" s="3" t="s">
        <v>533</v>
      </c>
      <c r="E34" s="3" t="s">
        <v>534</v>
      </c>
      <c r="F34" s="7" t="s">
        <v>1723</v>
      </c>
      <c r="I34" s="3" t="str">
        <f>IFERROR(__xludf.DUMMYFUNCTION("""COMPUTED_VALUE"""),"WH_V1")</f>
        <v>WH_V1</v>
      </c>
      <c r="J34" s="3" t="str">
        <f>IFERROR(__xludf.DUMMYFUNCTION("""COMPUTED_VALUE"""),"A11")</f>
        <v>A11</v>
      </c>
      <c r="K34" s="3" t="str">
        <f>IFERROR(__xludf.DUMMYFUNCTION("""COMPUTED_VALUE"""),"Quality Management (Governance)")</f>
        <v>Quality Management (Governance)</v>
      </c>
      <c r="L34" s="3" t="str">
        <f>IFERROR(__xludf.DUMMYFUNCTION("""COMPUTED_VALUE"""),"A11.8")</f>
        <v>A11.8</v>
      </c>
      <c r="M34" s="3" t="str">
        <f>IFERROR(__xludf.DUMMYFUNCTION("""COMPUTED_VALUE"""),"Lean Principles Implementation")</f>
        <v>Lean Principles Implementation</v>
      </c>
    </row>
    <row r="35" spans="1:13" x14ac:dyDescent="0.25">
      <c r="A35" s="3" t="s">
        <v>35</v>
      </c>
      <c r="B35" s="3" t="s">
        <v>587</v>
      </c>
      <c r="C35" s="3" t="s">
        <v>588</v>
      </c>
      <c r="D35" s="3" t="s">
        <v>589</v>
      </c>
      <c r="E35" s="3" t="s">
        <v>590</v>
      </c>
      <c r="F35" s="7" t="s">
        <v>1723</v>
      </c>
      <c r="I35" s="3" t="str">
        <f>IFERROR(__xludf.DUMMYFUNCTION("""COMPUTED_VALUE"""),"WH_V1")</f>
        <v>WH_V1</v>
      </c>
      <c r="J35" s="3" t="str">
        <f>IFERROR(__xludf.DUMMYFUNCTION("""COMPUTED_VALUE"""),"A11")</f>
        <v>A11</v>
      </c>
      <c r="K35" s="3" t="str">
        <f>IFERROR(__xludf.DUMMYFUNCTION("""COMPUTED_VALUE"""),"Quality Management (Governance)")</f>
        <v>Quality Management (Governance)</v>
      </c>
      <c r="L35" s="3" t="str">
        <f>IFERROR(__xludf.DUMMYFUNCTION("""COMPUTED_VALUE"""),"A11.9")</f>
        <v>A11.9</v>
      </c>
      <c r="M35" s="3" t="str">
        <f>IFERROR(__xludf.DUMMYFUNCTION("""COMPUTED_VALUE"""),"Ethylene-Sensitive/Releasing Product Segregation")</f>
        <v>Ethylene-Sensitive/Releasing Product Segregation</v>
      </c>
    </row>
    <row r="36" spans="1:13" x14ac:dyDescent="0.25">
      <c r="A36" s="3" t="s">
        <v>35</v>
      </c>
      <c r="B36" s="3" t="s">
        <v>587</v>
      </c>
      <c r="C36" s="3" t="s">
        <v>588</v>
      </c>
      <c r="D36" s="3" t="s">
        <v>603</v>
      </c>
      <c r="E36" s="3" t="s">
        <v>604</v>
      </c>
      <c r="F36" s="7" t="s">
        <v>1723</v>
      </c>
      <c r="I36" s="3" t="str">
        <f>IFERROR(__xludf.DUMMYFUNCTION("""COMPUTED_VALUE"""),"WH_V1")</f>
        <v>WH_V1</v>
      </c>
      <c r="J36" s="3" t="str">
        <f>IFERROR(__xludf.DUMMYFUNCTION("""COMPUTED_VALUE"""),"A11")</f>
        <v>A11</v>
      </c>
      <c r="K36" s="3" t="str">
        <f>IFERROR(__xludf.DUMMYFUNCTION("""COMPUTED_VALUE"""),"Quality Management (Governance)")</f>
        <v>Quality Management (Governance)</v>
      </c>
      <c r="L36" s="3" t="str">
        <f>IFERROR(__xludf.DUMMYFUNCTION("""COMPUTED_VALUE"""),"A11.10")</f>
        <v>A11.10</v>
      </c>
      <c r="M36" s="3" t="str">
        <f>IFERROR(__xludf.DUMMYFUNCTION("""COMPUTED_VALUE"""),"Shortage, Loss Prevention (SLP) &amp; Theft Management")</f>
        <v>Shortage, Loss Prevention (SLP) &amp; Theft Management</v>
      </c>
    </row>
    <row r="37" spans="1:13" x14ac:dyDescent="0.25">
      <c r="A37" s="3" t="s">
        <v>35</v>
      </c>
      <c r="B37" s="3" t="s">
        <v>587</v>
      </c>
      <c r="C37" s="3" t="s">
        <v>588</v>
      </c>
      <c r="D37" s="3" t="s">
        <v>613</v>
      </c>
      <c r="E37" s="3" t="s">
        <v>614</v>
      </c>
      <c r="F37" s="7" t="s">
        <v>1723</v>
      </c>
      <c r="I37" s="3" t="str">
        <f>IFERROR(__xludf.DUMMYFUNCTION("""COMPUTED_VALUE"""),"WH_V1")</f>
        <v>WH_V1</v>
      </c>
      <c r="J37" s="3" t="str">
        <f>IFERROR(__xludf.DUMMYFUNCTION("""COMPUTED_VALUE"""),"A12")</f>
        <v>A12</v>
      </c>
      <c r="K37" s="3" t="str">
        <f>IFERROR(__xludf.DUMMYFUNCTION("""COMPUTED_VALUE"""),"Process Design &amp; Governance")</f>
        <v>Process Design &amp; Governance</v>
      </c>
      <c r="L37" s="3" t="str">
        <f>IFERROR(__xludf.DUMMYFUNCTION("""COMPUTED_VALUE"""),"A12.1")</f>
        <v>A12.1</v>
      </c>
      <c r="M37" s="3" t="str">
        <f>IFERROR(__xludf.DUMMYFUNCTION("""COMPUTED_VALUE"""),"Process Architecture, Definition &amp; Flow Mapping")</f>
        <v>Process Architecture, Definition &amp; Flow Mapping</v>
      </c>
    </row>
    <row r="38" spans="1:13" x14ac:dyDescent="0.25">
      <c r="A38" s="3" t="s">
        <v>35</v>
      </c>
      <c r="B38" s="3" t="s">
        <v>587</v>
      </c>
      <c r="C38" s="3" t="s">
        <v>588</v>
      </c>
      <c r="D38" s="3" t="s">
        <v>622</v>
      </c>
      <c r="E38" s="3" t="s">
        <v>623</v>
      </c>
      <c r="F38" s="7" t="s">
        <v>1723</v>
      </c>
      <c r="I38" s="3" t="str">
        <f>IFERROR(__xludf.DUMMYFUNCTION("""COMPUTED_VALUE"""),"WH_V1")</f>
        <v>WH_V1</v>
      </c>
      <c r="J38" s="3" t="str">
        <f>IFERROR(__xludf.DUMMYFUNCTION("""COMPUTED_VALUE"""),"A12")</f>
        <v>A12</v>
      </c>
      <c r="K38" s="3" t="str">
        <f>IFERROR(__xludf.DUMMYFUNCTION("""COMPUTED_VALUE"""),"Process Design &amp; Governance")</f>
        <v>Process Design &amp; Governance</v>
      </c>
      <c r="L38" s="3" t="str">
        <f>IFERROR(__xludf.DUMMYFUNCTION("""COMPUTED_VALUE"""),"A12.2")</f>
        <v>A12.2</v>
      </c>
      <c r="M38" s="3" t="str">
        <f>IFERROR(__xludf.DUMMYFUNCTION("""COMPUTED_VALUE"""),"Process Ownership &amp; Responsibility Matrix")</f>
        <v>Process Ownership &amp; Responsibility Matrix</v>
      </c>
    </row>
    <row r="39" spans="1:13" x14ac:dyDescent="0.25">
      <c r="A39" s="3" t="s">
        <v>35</v>
      </c>
      <c r="B39" s="3" t="s">
        <v>587</v>
      </c>
      <c r="C39" s="3" t="s">
        <v>588</v>
      </c>
      <c r="D39" s="3" t="s">
        <v>631</v>
      </c>
      <c r="E39" s="3" t="s">
        <v>632</v>
      </c>
      <c r="F39" s="7" t="s">
        <v>1723</v>
      </c>
      <c r="I39" s="3" t="str">
        <f>IFERROR(__xludf.DUMMYFUNCTION("""COMPUTED_VALUE"""),"WH_V1")</f>
        <v>WH_V1</v>
      </c>
      <c r="J39" s="3" t="str">
        <f>IFERROR(__xludf.DUMMYFUNCTION("""COMPUTED_VALUE"""),"A12")</f>
        <v>A12</v>
      </c>
      <c r="K39" s="3" t="str">
        <f>IFERROR(__xludf.DUMMYFUNCTION("""COMPUTED_VALUE"""),"Process Design &amp; Governance")</f>
        <v>Process Design &amp; Governance</v>
      </c>
      <c r="L39" s="3" t="str">
        <f>IFERROR(__xludf.DUMMYFUNCTION("""COMPUTED_VALUE"""),"A12.3")</f>
        <v>A12.3</v>
      </c>
      <c r="M39" s="3" t="str">
        <f>IFERROR(__xludf.DUMMYFUNCTION("""COMPUTED_VALUE"""),"Exception Flow &amp; Approval Matrix")</f>
        <v>Exception Flow &amp; Approval Matrix</v>
      </c>
    </row>
    <row r="40" spans="1:13" x14ac:dyDescent="0.25">
      <c r="A40" s="3" t="s">
        <v>35</v>
      </c>
      <c r="B40" s="3" t="s">
        <v>640</v>
      </c>
      <c r="C40" s="3" t="s">
        <v>641</v>
      </c>
      <c r="D40" s="3" t="s">
        <v>642</v>
      </c>
      <c r="E40" s="3" t="s">
        <v>643</v>
      </c>
      <c r="F40" s="7" t="s">
        <v>1723</v>
      </c>
      <c r="I40" s="3" t="str">
        <f>IFERROR(__xludf.DUMMYFUNCTION("""COMPUTED_VALUE"""),"WH_V1")</f>
        <v>WH_V1</v>
      </c>
      <c r="J40" s="3" t="str">
        <f>IFERROR(__xludf.DUMMYFUNCTION("""COMPUTED_VALUE"""),"A12")</f>
        <v>A12</v>
      </c>
      <c r="K40" s="3" t="str">
        <f>IFERROR(__xludf.DUMMYFUNCTION("""COMPUTED_VALUE"""),"Process Design &amp; Governance")</f>
        <v>Process Design &amp; Governance</v>
      </c>
      <c r="L40" s="3" t="str">
        <f>IFERROR(__xludf.DUMMYFUNCTION("""COMPUTED_VALUE"""),"A12.4")</f>
        <v>A12.4</v>
      </c>
      <c r="M40" s="3" t="str">
        <f>IFERROR(__xludf.DUMMYFUNCTION("""COMPUTED_VALUE"""),"Scan-Based Traceability Depth")</f>
        <v>Scan-Based Traceability Depth</v>
      </c>
    </row>
    <row r="41" spans="1:13" x14ac:dyDescent="0.25">
      <c r="A41" s="3" t="s">
        <v>35</v>
      </c>
      <c r="B41" s="3" t="s">
        <v>640</v>
      </c>
      <c r="C41" s="3" t="s">
        <v>641</v>
      </c>
      <c r="D41" s="3" t="s">
        <v>656</v>
      </c>
      <c r="E41" s="3" t="s">
        <v>657</v>
      </c>
      <c r="F41" s="7" t="s">
        <v>1723</v>
      </c>
      <c r="I41" s="3" t="str">
        <f>IFERROR(__xludf.DUMMYFUNCTION("""COMPUTED_VALUE"""),"WH_V1")</f>
        <v>WH_V1</v>
      </c>
      <c r="J41" s="3" t="str">
        <f>IFERROR(__xludf.DUMMYFUNCTION("""COMPUTED_VALUE"""),"A13")</f>
        <v>A13</v>
      </c>
      <c r="K41" s="3" t="str">
        <f>IFERROR(__xludf.DUMMYFUNCTION("""COMPUTED_VALUE"""),"Planning (Demand, Inventory, Capacity)")</f>
        <v>Planning (Demand, Inventory, Capacity)</v>
      </c>
      <c r="L41" s="3" t="str">
        <f>IFERROR(__xludf.DUMMYFUNCTION("""COMPUTED_VALUE"""),"A13.1")</f>
        <v>A13.1</v>
      </c>
      <c r="M41" s="3" t="str">
        <f>IFERROR(__xludf.DUMMYFUNCTION("""COMPUTED_VALUE"""),"Demand Planning")</f>
        <v>Demand Planning</v>
      </c>
    </row>
    <row r="42" spans="1:13" x14ac:dyDescent="0.25">
      <c r="A42" s="3" t="s">
        <v>35</v>
      </c>
      <c r="B42" s="3" t="s">
        <v>640</v>
      </c>
      <c r="C42" s="3" t="s">
        <v>641</v>
      </c>
      <c r="D42" s="3" t="s">
        <v>665</v>
      </c>
      <c r="E42" s="3" t="s">
        <v>666</v>
      </c>
      <c r="F42" s="7" t="s">
        <v>1723</v>
      </c>
      <c r="I42" s="3" t="str">
        <f>IFERROR(__xludf.DUMMYFUNCTION("""COMPUTED_VALUE"""),"WH_V1")</f>
        <v>WH_V1</v>
      </c>
      <c r="J42" s="3" t="str">
        <f>IFERROR(__xludf.DUMMYFUNCTION("""COMPUTED_VALUE"""),"A13")</f>
        <v>A13</v>
      </c>
      <c r="K42" s="3" t="str">
        <f>IFERROR(__xludf.DUMMYFUNCTION("""COMPUTED_VALUE"""),"Planning (Demand, Inventory, Capacity)")</f>
        <v>Planning (Demand, Inventory, Capacity)</v>
      </c>
      <c r="L42" s="3" t="str">
        <f>IFERROR(__xludf.DUMMYFUNCTION("""COMPUTED_VALUE"""),"A13.2")</f>
        <v>A13.2</v>
      </c>
      <c r="M42" s="3" t="str">
        <f>IFERROR(__xludf.DUMMYFUNCTION("""COMPUTED_VALUE"""),"Inventory Planning")</f>
        <v>Inventory Planning</v>
      </c>
    </row>
    <row r="43" spans="1:13" x14ac:dyDescent="0.25">
      <c r="A43" s="3" t="s">
        <v>35</v>
      </c>
      <c r="B43" s="3" t="s">
        <v>640</v>
      </c>
      <c r="C43" s="3" t="s">
        <v>641</v>
      </c>
      <c r="D43" s="3" t="s">
        <v>674</v>
      </c>
      <c r="E43" s="3" t="s">
        <v>675</v>
      </c>
      <c r="F43" s="7" t="s">
        <v>1723</v>
      </c>
      <c r="I43" s="3" t="str">
        <f>IFERROR(__xludf.DUMMYFUNCTION("""COMPUTED_VALUE"""),"WH_V1")</f>
        <v>WH_V1</v>
      </c>
      <c r="J43" s="3" t="str">
        <f>IFERROR(__xludf.DUMMYFUNCTION("""COMPUTED_VALUE"""),"A13")</f>
        <v>A13</v>
      </c>
      <c r="K43" s="3" t="str">
        <f>IFERROR(__xludf.DUMMYFUNCTION("""COMPUTED_VALUE"""),"Planning (Demand, Inventory, Capacity)")</f>
        <v>Planning (Demand, Inventory, Capacity)</v>
      </c>
      <c r="L43" s="3" t="str">
        <f>IFERROR(__xludf.DUMMYFUNCTION("""COMPUTED_VALUE"""),"A13.3")</f>
        <v>A13.3</v>
      </c>
      <c r="M43" s="3" t="str">
        <f>IFERROR(__xludf.DUMMYFUNCTION("""COMPUTED_VALUE"""),"Replenishment Planning")</f>
        <v>Replenishment Planning</v>
      </c>
    </row>
    <row r="44" spans="1:13" x14ac:dyDescent="0.25">
      <c r="A44" s="3" t="s">
        <v>35</v>
      </c>
      <c r="B44" s="3" t="s">
        <v>683</v>
      </c>
      <c r="C44" s="3" t="s">
        <v>684</v>
      </c>
      <c r="D44" s="3" t="s">
        <v>685</v>
      </c>
      <c r="E44" s="3" t="s">
        <v>686</v>
      </c>
      <c r="F44" s="7" t="s">
        <v>1723</v>
      </c>
      <c r="I44" s="3" t="str">
        <f>IFERROR(__xludf.DUMMYFUNCTION("""COMPUTED_VALUE"""),"WH_V1")</f>
        <v>WH_V1</v>
      </c>
      <c r="J44" s="3" t="str">
        <f>IFERROR(__xludf.DUMMYFUNCTION("""COMPUTED_VALUE"""),"A13")</f>
        <v>A13</v>
      </c>
      <c r="K44" s="3" t="str">
        <f>IFERROR(__xludf.DUMMYFUNCTION("""COMPUTED_VALUE"""),"Planning (Demand, Inventory, Capacity)")</f>
        <v>Planning (Demand, Inventory, Capacity)</v>
      </c>
      <c r="L44" s="3" t="str">
        <f>IFERROR(__xludf.DUMMYFUNCTION("""COMPUTED_VALUE"""),"A13.4")</f>
        <v>A13.4</v>
      </c>
      <c r="M44" s="3" t="str">
        <f>IFERROR(__xludf.DUMMYFUNCTION("""COMPUTED_VALUE"""),"Manpower &amp; Capacity Planning")</f>
        <v>Manpower &amp; Capacity Planning</v>
      </c>
    </row>
    <row r="45" spans="1:13" x14ac:dyDescent="0.25">
      <c r="A45" s="3" t="s">
        <v>35</v>
      </c>
      <c r="B45" s="3" t="s">
        <v>683</v>
      </c>
      <c r="C45" s="3" t="s">
        <v>684</v>
      </c>
      <c r="D45" s="3" t="s">
        <v>694</v>
      </c>
      <c r="E45" s="3" t="s">
        <v>695</v>
      </c>
      <c r="F45" s="7" t="s">
        <v>1723</v>
      </c>
      <c r="I45" s="3" t="str">
        <f>IFERROR(__xludf.DUMMYFUNCTION("""COMPUTED_VALUE"""),"WH_V1")</f>
        <v>WH_V1</v>
      </c>
      <c r="J45" s="3" t="str">
        <f>IFERROR(__xludf.DUMMYFUNCTION("""COMPUTED_VALUE"""),"A13")</f>
        <v>A13</v>
      </c>
      <c r="K45" s="3" t="str">
        <f>IFERROR(__xludf.DUMMYFUNCTION("""COMPUTED_VALUE"""),"Planning (Demand, Inventory, Capacity)")</f>
        <v>Planning (Demand, Inventory, Capacity)</v>
      </c>
      <c r="L45" s="3" t="str">
        <f>IFERROR(__xludf.DUMMYFUNCTION("""COMPUTED_VALUE"""),"A13.5")</f>
        <v>A13.5</v>
      </c>
      <c r="M45" s="3" t="str">
        <f>IFERROR(__xludf.DUMMYFUNCTION("""COMPUTED_VALUE"""),"Network Planning")</f>
        <v>Network Planning</v>
      </c>
    </row>
    <row r="46" spans="1:13" x14ac:dyDescent="0.25">
      <c r="A46" s="3" t="s">
        <v>35</v>
      </c>
      <c r="B46" s="3" t="s">
        <v>683</v>
      </c>
      <c r="C46" s="3" t="s">
        <v>684</v>
      </c>
      <c r="D46" s="3" t="s">
        <v>703</v>
      </c>
      <c r="E46" s="3" t="s">
        <v>704</v>
      </c>
      <c r="F46" s="7" t="s">
        <v>1723</v>
      </c>
      <c r="I46" s="3" t="str">
        <f>IFERROR(__xludf.DUMMYFUNCTION("""COMPUTED_VALUE"""),"WH_V1")</f>
        <v>WH_V1</v>
      </c>
      <c r="J46" s="3" t="str">
        <f>IFERROR(__xludf.DUMMYFUNCTION("""COMPUTED_VALUE"""),"A13")</f>
        <v>A13</v>
      </c>
      <c r="K46" s="3" t="str">
        <f>IFERROR(__xludf.DUMMYFUNCTION("""COMPUTED_VALUE"""),"Planning (Demand, Inventory, Capacity)")</f>
        <v>Planning (Demand, Inventory, Capacity)</v>
      </c>
      <c r="L46" s="3" t="str">
        <f>IFERROR(__xludf.DUMMYFUNCTION("""COMPUTED_VALUE"""),"A13.6")</f>
        <v>A13.6</v>
      </c>
      <c r="M46" s="3" t="str">
        <f>IFERROR(__xludf.DUMMYFUNCTION("""COMPUTED_VALUE"""),"Planning Cycle &amp; Fill Rate Monitoring")</f>
        <v>Planning Cycle &amp; Fill Rate Monitoring</v>
      </c>
    </row>
    <row r="47" spans="1:13" x14ac:dyDescent="0.25">
      <c r="A47" s="3" t="s">
        <v>35</v>
      </c>
      <c r="B47" s="3" t="s">
        <v>683</v>
      </c>
      <c r="C47" s="3" t="s">
        <v>684</v>
      </c>
      <c r="D47" s="3" t="s">
        <v>712</v>
      </c>
      <c r="E47" s="3" t="s">
        <v>713</v>
      </c>
      <c r="F47" s="7" t="s">
        <v>1723</v>
      </c>
      <c r="I47" s="3" t="str">
        <f>IFERROR(__xludf.DUMMYFUNCTION("""COMPUTED_VALUE"""),"WH_V1")</f>
        <v>WH_V1</v>
      </c>
      <c r="J47" s="3" t="str">
        <f>IFERROR(__xludf.DUMMYFUNCTION("""COMPUTED_VALUE"""),"A13")</f>
        <v>A13</v>
      </c>
      <c r="K47" s="3" t="str">
        <f>IFERROR(__xludf.DUMMYFUNCTION("""COMPUTED_VALUE"""),"Planning (Demand, Inventory, Capacity)")</f>
        <v>Planning (Demand, Inventory, Capacity)</v>
      </c>
      <c r="L47" s="3" t="str">
        <f>IFERROR(__xludf.DUMMYFUNCTION("""COMPUTED_VALUE"""),"A13.7")</f>
        <v>A13.7</v>
      </c>
      <c r="M47" s="3" t="str">
        <f>IFERROR(__xludf.DUMMYFUNCTION("""COMPUTED_VALUE"""),"Supplier Planning &amp; Risk Management")</f>
        <v>Supplier Planning &amp; Risk Management</v>
      </c>
    </row>
    <row r="48" spans="1:13" x14ac:dyDescent="0.25">
      <c r="A48" s="3" t="s">
        <v>35</v>
      </c>
      <c r="B48" s="3" t="s">
        <v>683</v>
      </c>
      <c r="C48" s="3" t="s">
        <v>684</v>
      </c>
      <c r="D48" s="3" t="s">
        <v>722</v>
      </c>
      <c r="E48" s="3" t="s">
        <v>723</v>
      </c>
      <c r="F48" s="7" t="s">
        <v>1723</v>
      </c>
      <c r="I48" s="3" t="str">
        <f>IFERROR(__xludf.DUMMYFUNCTION("""COMPUTED_VALUE"""),"WH_V1")</f>
        <v>WH_V1</v>
      </c>
      <c r="J48" s="3" t="str">
        <f>IFERROR(__xludf.DUMMYFUNCTION("""COMPUTED_VALUE"""),"A13")</f>
        <v>A13</v>
      </c>
      <c r="K48" s="3" t="str">
        <f>IFERROR(__xludf.DUMMYFUNCTION("""COMPUTED_VALUE"""),"Planning (Demand, Inventory, Capacity)")</f>
        <v>Planning (Demand, Inventory, Capacity)</v>
      </c>
      <c r="L48" s="3" t="str">
        <f>IFERROR(__xludf.DUMMYFUNCTION("""COMPUTED_VALUE"""),"A13.8")</f>
        <v>A13.8</v>
      </c>
      <c r="M48" s="3" t="str">
        <f>IFERROR(__xludf.DUMMYFUNCTION("""COMPUTED_VALUE"""),"Indent Accuracy (Order Projection vs. Actual)")</f>
        <v>Indent Accuracy (Order Projection vs. Actual)</v>
      </c>
    </row>
    <row r="49" spans="1:13" x14ac:dyDescent="0.25">
      <c r="A49" s="3" t="s">
        <v>35</v>
      </c>
      <c r="B49" s="3" t="s">
        <v>683</v>
      </c>
      <c r="C49" s="3" t="s">
        <v>684</v>
      </c>
      <c r="D49" s="3" t="s">
        <v>733</v>
      </c>
      <c r="E49" s="3" t="s">
        <v>734</v>
      </c>
      <c r="F49" s="7" t="s">
        <v>1723</v>
      </c>
      <c r="I49" s="3" t="str">
        <f>IFERROR(__xludf.DUMMYFUNCTION("""COMPUTED_VALUE"""),"WH_V1")</f>
        <v>WH_V1</v>
      </c>
      <c r="J49" s="3" t="str">
        <f>IFERROR(__xludf.DUMMYFUNCTION("""COMPUTED_VALUE"""),"A13")</f>
        <v>A13</v>
      </c>
      <c r="K49" s="3" t="str">
        <f>IFERROR(__xludf.DUMMYFUNCTION("""COMPUTED_VALUE"""),"Planning (Demand, Inventory, Capacity)")</f>
        <v>Planning (Demand, Inventory, Capacity)</v>
      </c>
      <c r="L49" s="3" t="str">
        <f>IFERROR(__xludf.DUMMYFUNCTION("""COMPUTED_VALUE"""),"A13.9")</f>
        <v>A13.9</v>
      </c>
      <c r="M49" s="3" t="str">
        <f>IFERROR(__xludf.DUMMYFUNCTION("""COMPUTED_VALUE"""),"Inventory Rotation FIFO Compliance %")</f>
        <v>Inventory Rotation FIFO Compliance %</v>
      </c>
    </row>
    <row r="50" spans="1:13" x14ac:dyDescent="0.25">
      <c r="A50" s="3" t="s">
        <v>35</v>
      </c>
      <c r="B50" s="3" t="s">
        <v>683</v>
      </c>
      <c r="C50" s="3" t="s">
        <v>684</v>
      </c>
      <c r="D50" s="3" t="s">
        <v>743</v>
      </c>
      <c r="E50" s="3" t="s">
        <v>744</v>
      </c>
      <c r="F50" s="7" t="s">
        <v>1723</v>
      </c>
      <c r="I50" s="3" t="str">
        <f>IFERROR(__xludf.DUMMYFUNCTION("""COMPUTED_VALUE"""),"WH_V1")</f>
        <v>WH_V1</v>
      </c>
      <c r="J50" s="3" t="str">
        <f>IFERROR(__xludf.DUMMYFUNCTION("""COMPUTED_VALUE"""),"A13")</f>
        <v>A13</v>
      </c>
      <c r="K50" s="3" t="str">
        <f>IFERROR(__xludf.DUMMYFUNCTION("""COMPUTED_VALUE"""),"Planning (Demand, Inventory, Capacity)")</f>
        <v>Planning (Demand, Inventory, Capacity)</v>
      </c>
      <c r="L50" s="3" t="str">
        <f>IFERROR(__xludf.DUMMYFUNCTION("""COMPUTED_VALUE"""),"A13.10")</f>
        <v>A13.10</v>
      </c>
      <c r="M50" s="3" t="str">
        <f>IFERROR(__xludf.DUMMYFUNCTION("""COMPUTED_VALUE"""),"Inventory Accuracy % (System vs. Physical)")</f>
        <v>Inventory Accuracy % (System vs. Physical)</v>
      </c>
    </row>
    <row r="51" spans="1:13" x14ac:dyDescent="0.25">
      <c r="A51" s="3" t="s">
        <v>35</v>
      </c>
      <c r="B51" s="3" t="s">
        <v>683</v>
      </c>
      <c r="C51" s="3" t="s">
        <v>684</v>
      </c>
      <c r="D51" s="3" t="s">
        <v>752</v>
      </c>
      <c r="E51" s="3" t="s">
        <v>753</v>
      </c>
      <c r="F51" s="7" t="s">
        <v>1723</v>
      </c>
      <c r="I51" s="3" t="str">
        <f>IFERROR(__xludf.DUMMYFUNCTION("""COMPUTED_VALUE"""),"WH_V1")</f>
        <v>WH_V1</v>
      </c>
      <c r="J51" s="3" t="str">
        <f>IFERROR(__xludf.DUMMYFUNCTION("""COMPUTED_VALUE"""),"A13")</f>
        <v>A13</v>
      </c>
      <c r="K51" s="3" t="str">
        <f>IFERROR(__xludf.DUMMYFUNCTION("""COMPUTED_VALUE"""),"Planning (Demand, Inventory, Capacity)")</f>
        <v>Planning (Demand, Inventory, Capacity)</v>
      </c>
      <c r="L51" s="3" t="str">
        <f>IFERROR(__xludf.DUMMYFUNCTION("""COMPUTED_VALUE"""),"A13.11")</f>
        <v>A13.11</v>
      </c>
      <c r="M51" s="3" t="str">
        <f>IFERROR(__xludf.DUMMYFUNCTION("""COMPUTED_VALUE"""),"Expiry Loss % (Expired Value vs. Sales)")</f>
        <v>Expiry Loss % (Expired Value vs. Sales)</v>
      </c>
    </row>
    <row r="52" spans="1:13" x14ac:dyDescent="0.25">
      <c r="A52" s="3" t="s">
        <v>35</v>
      </c>
      <c r="B52" s="3" t="s">
        <v>683</v>
      </c>
      <c r="C52" s="3" t="s">
        <v>684</v>
      </c>
      <c r="D52" s="3" t="s">
        <v>761</v>
      </c>
      <c r="E52" s="3" t="s">
        <v>762</v>
      </c>
      <c r="F52" s="7" t="s">
        <v>1723</v>
      </c>
      <c r="I52" s="3" t="str">
        <f>IFERROR(__xludf.DUMMYFUNCTION("""COMPUTED_VALUE"""),"WH_V1")</f>
        <v>WH_V1</v>
      </c>
      <c r="J52" s="3" t="str">
        <f>IFERROR(__xludf.DUMMYFUNCTION("""COMPUTED_VALUE"""),"A13")</f>
        <v>A13</v>
      </c>
      <c r="K52" s="3" t="str">
        <f>IFERROR(__xludf.DUMMYFUNCTION("""COMPUTED_VALUE"""),"Planning (Demand, Inventory, Capacity)")</f>
        <v>Planning (Demand, Inventory, Capacity)</v>
      </c>
      <c r="L52" s="3" t="str">
        <f>IFERROR(__xludf.DUMMYFUNCTION("""COMPUTED_VALUE"""),"A13.12")</f>
        <v>A13.12</v>
      </c>
      <c r="M52" s="3" t="str">
        <f>IFERROR(__xludf.DUMMYFUNCTION("""COMPUTED_VALUE"""),"Absenteeism %")</f>
        <v>Absenteeism %</v>
      </c>
    </row>
    <row r="53" spans="1:13" x14ac:dyDescent="0.25">
      <c r="A53" s="3" t="s">
        <v>35</v>
      </c>
      <c r="B53" s="3" t="s">
        <v>770</v>
      </c>
      <c r="C53" s="3" t="s">
        <v>771</v>
      </c>
      <c r="D53" s="3" t="s">
        <v>772</v>
      </c>
      <c r="E53" s="3" t="s">
        <v>773</v>
      </c>
      <c r="F53" s="7" t="s">
        <v>1723</v>
      </c>
      <c r="I53" s="3" t="str">
        <f>IFERROR(__xludf.DUMMYFUNCTION("""COMPUTED_VALUE"""),"WH_V1")</f>
        <v>WH_V1</v>
      </c>
      <c r="J53" s="3" t="str">
        <f>IFERROR(__xludf.DUMMYFUNCTION("""COMPUTED_VALUE"""),"A13")</f>
        <v>A13</v>
      </c>
      <c r="K53" s="3" t="str">
        <f>IFERROR(__xludf.DUMMYFUNCTION("""COMPUTED_VALUE"""),"Planning (Demand, Inventory, Capacity)")</f>
        <v>Planning (Demand, Inventory, Capacity)</v>
      </c>
      <c r="L53" s="3" t="str">
        <f>IFERROR(__xludf.DUMMYFUNCTION("""COMPUTED_VALUE"""),"A13.13")</f>
        <v>A13.13</v>
      </c>
      <c r="M53" s="3" t="str">
        <f>IFERROR(__xludf.DUMMYFUNCTION("""COMPUTED_VALUE"""),"Inward Accuracy (Actual Arrived Qty vs. Indent)")</f>
        <v>Inward Accuracy (Actual Arrived Qty vs. Indent)</v>
      </c>
    </row>
    <row r="54" spans="1:13" x14ac:dyDescent="0.25">
      <c r="A54" s="3" t="s">
        <v>35</v>
      </c>
      <c r="B54" s="3" t="s">
        <v>770</v>
      </c>
      <c r="C54" s="3" t="s">
        <v>771</v>
      </c>
      <c r="D54" s="3" t="s">
        <v>784</v>
      </c>
      <c r="E54" s="3" t="s">
        <v>785</v>
      </c>
      <c r="F54" s="7" t="s">
        <v>1723</v>
      </c>
      <c r="I54" s="3" t="str">
        <f>IFERROR(__xludf.DUMMYFUNCTION("""COMPUTED_VALUE"""),"WH_V1")</f>
        <v>WH_V1</v>
      </c>
      <c r="J54" s="3" t="str">
        <f>IFERROR(__xludf.DUMMYFUNCTION("""COMPUTED_VALUE"""),"A13")</f>
        <v>A13</v>
      </c>
      <c r="K54" s="3" t="str">
        <f>IFERROR(__xludf.DUMMYFUNCTION("""COMPUTED_VALUE"""),"Planning (Demand, Inventory, Capacity)")</f>
        <v>Planning (Demand, Inventory, Capacity)</v>
      </c>
      <c r="L54" s="3" t="str">
        <f>IFERROR(__xludf.DUMMYFUNCTION("""COMPUTED_VALUE"""),"A13.14")</f>
        <v>A13.14</v>
      </c>
      <c r="M54" s="3" t="str">
        <f>IFERROR(__xludf.DUMMYFUNCTION("""COMPUTED_VALUE"""),"Dispatched Accuracy (Actual Dispatched Qty vs. Plan)")</f>
        <v>Dispatched Accuracy (Actual Dispatched Qty vs. Plan)</v>
      </c>
    </row>
    <row r="55" spans="1:13" x14ac:dyDescent="0.25">
      <c r="A55" s="3" t="s">
        <v>35</v>
      </c>
      <c r="B55" s="3" t="s">
        <v>770</v>
      </c>
      <c r="C55" s="3" t="s">
        <v>771</v>
      </c>
      <c r="D55" s="3" t="s">
        <v>793</v>
      </c>
      <c r="E55" s="3" t="s">
        <v>794</v>
      </c>
      <c r="F55" s="7" t="s">
        <v>1723</v>
      </c>
      <c r="I55" s="3" t="str">
        <f>IFERROR(__xludf.DUMMYFUNCTION("""COMPUTED_VALUE"""),"WH_V1")</f>
        <v>WH_V1</v>
      </c>
      <c r="J55" s="3" t="str">
        <f>IFERROR(__xludf.DUMMYFUNCTION("""COMPUTED_VALUE"""),"A14")</f>
        <v>A14</v>
      </c>
      <c r="K55" s="3" t="str">
        <f>IFERROR(__xludf.DUMMYFUNCTION("""COMPUTED_VALUE"""),"Facility &amp; Warehouse Design")</f>
        <v>Facility &amp; Warehouse Design</v>
      </c>
      <c r="L55" s="3" t="str">
        <f>IFERROR(__xludf.DUMMYFUNCTION("""COMPUTED_VALUE"""),"A14.1")</f>
        <v>A14.1</v>
      </c>
      <c r="M55" s="3" t="str">
        <f>IFERROR(__xludf.DUMMYFUNCTION("""COMPUTED_VALUE"""),"Facility Sizing &amp; Throughput Planning")</f>
        <v>Facility Sizing &amp; Throughput Planning</v>
      </c>
    </row>
    <row r="56" spans="1:13" x14ac:dyDescent="0.25">
      <c r="A56" s="3" t="s">
        <v>35</v>
      </c>
      <c r="B56" s="3" t="s">
        <v>770</v>
      </c>
      <c r="C56" s="3" t="s">
        <v>771</v>
      </c>
      <c r="D56" s="3" t="s">
        <v>806</v>
      </c>
      <c r="E56" s="3" t="s">
        <v>807</v>
      </c>
      <c r="F56" s="7" t="s">
        <v>1723</v>
      </c>
      <c r="I56" s="3" t="str">
        <f>IFERROR(__xludf.DUMMYFUNCTION("""COMPUTED_VALUE"""),"WH_V1")</f>
        <v>WH_V1</v>
      </c>
      <c r="J56" s="3" t="str">
        <f>IFERROR(__xludf.DUMMYFUNCTION("""COMPUTED_VALUE"""),"A14")</f>
        <v>A14</v>
      </c>
      <c r="K56" s="3" t="str">
        <f>IFERROR(__xludf.DUMMYFUNCTION("""COMPUTED_VALUE"""),"Facility &amp; Warehouse Design")</f>
        <v>Facility &amp; Warehouse Design</v>
      </c>
      <c r="L56" s="3" t="str">
        <f>IFERROR(__xludf.DUMMYFUNCTION("""COMPUTED_VALUE"""),"A14.2")</f>
        <v>A14.2</v>
      </c>
      <c r="M56" s="3" t="str">
        <f>IFERROR(__xludf.DUMMYFUNCTION("""COMPUTED_VALUE"""),"Warehouse Layout Design")</f>
        <v>Warehouse Layout Design</v>
      </c>
    </row>
    <row r="57" spans="1:13" x14ac:dyDescent="0.25">
      <c r="A57" s="3" t="s">
        <v>35</v>
      </c>
      <c r="B57" s="3" t="s">
        <v>770</v>
      </c>
      <c r="C57" s="3" t="s">
        <v>771</v>
      </c>
      <c r="D57" s="3" t="s">
        <v>815</v>
      </c>
      <c r="E57" s="3" t="s">
        <v>816</v>
      </c>
      <c r="F57" s="7" t="s">
        <v>1723</v>
      </c>
      <c r="I57" s="3" t="str">
        <f>IFERROR(__xludf.DUMMYFUNCTION("""COMPUTED_VALUE"""),"WH_V1")</f>
        <v>WH_V1</v>
      </c>
      <c r="J57" s="3" t="str">
        <f>IFERROR(__xludf.DUMMYFUNCTION("""COMPUTED_VALUE"""),"A14")</f>
        <v>A14</v>
      </c>
      <c r="K57" s="3" t="str">
        <f>IFERROR(__xludf.DUMMYFUNCTION("""COMPUTED_VALUE"""),"Facility &amp; Warehouse Design")</f>
        <v>Facility &amp; Warehouse Design</v>
      </c>
      <c r="L57" s="3" t="str">
        <f>IFERROR(__xludf.DUMMYFUNCTION("""COMPUTED_VALUE"""),"A14.3")</f>
        <v>A14.3</v>
      </c>
      <c r="M57" s="3" t="str">
        <f>IFERROR(__xludf.DUMMYFUNCTION("""COMPUTED_VALUE"""),"Cost per Unit Tracking")</f>
        <v>Cost per Unit Tracking</v>
      </c>
    </row>
    <row r="58" spans="1:13" x14ac:dyDescent="0.25">
      <c r="A58" s="3" t="s">
        <v>35</v>
      </c>
      <c r="B58" s="3" t="s">
        <v>824</v>
      </c>
      <c r="C58" s="3" t="s">
        <v>825</v>
      </c>
      <c r="D58" s="3" t="s">
        <v>826</v>
      </c>
      <c r="E58" s="3" t="s">
        <v>827</v>
      </c>
      <c r="F58" s="7" t="s">
        <v>1723</v>
      </c>
      <c r="I58" s="3" t="str">
        <f>IFERROR(__xludf.DUMMYFUNCTION("""COMPUTED_VALUE"""),"WH_V1")</f>
        <v>WH_V1</v>
      </c>
      <c r="J58" s="3" t="str">
        <f>IFERROR(__xludf.DUMMYFUNCTION("""COMPUTED_VALUE"""),"A14")</f>
        <v>A14</v>
      </c>
      <c r="K58" s="3" t="str">
        <f>IFERROR(__xludf.DUMMYFUNCTION("""COMPUTED_VALUE"""),"Facility &amp; Warehouse Design")</f>
        <v>Facility &amp; Warehouse Design</v>
      </c>
      <c r="L58" s="3" t="str">
        <f>IFERROR(__xludf.DUMMYFUNCTION("""COMPUTED_VALUE"""),"A14.4")</f>
        <v>A14.4</v>
      </c>
      <c r="M58" s="3" t="str">
        <f>IFERROR(__xludf.DUMMYFUNCTION("""COMPUTED_VALUE"""),"Project Planning &amp; Governance (Charter, Timeline, Cost Control)")</f>
        <v>Project Planning &amp; Governance (Charter, Timeline, Cost Control)</v>
      </c>
    </row>
    <row r="59" spans="1:13" x14ac:dyDescent="0.25">
      <c r="A59" s="3" t="s">
        <v>35</v>
      </c>
      <c r="B59" s="3" t="s">
        <v>824</v>
      </c>
      <c r="C59" s="3" t="s">
        <v>825</v>
      </c>
      <c r="D59" s="3" t="s">
        <v>840</v>
      </c>
      <c r="E59" s="3" t="s">
        <v>841</v>
      </c>
      <c r="F59" s="7" t="s">
        <v>1723</v>
      </c>
      <c r="I59" s="3" t="str">
        <f>IFERROR(__xludf.DUMMYFUNCTION("""COMPUTED_VALUE"""),"WH_V1")</f>
        <v>WH_V1</v>
      </c>
      <c r="J59" s="3" t="str">
        <f>IFERROR(__xludf.DUMMYFUNCTION("""COMPUTED_VALUE"""),"A14")</f>
        <v>A14</v>
      </c>
      <c r="K59" s="3" t="str">
        <f>IFERROR(__xludf.DUMMYFUNCTION("""COMPUTED_VALUE"""),"Facility &amp; Warehouse Design")</f>
        <v>Facility &amp; Warehouse Design</v>
      </c>
      <c r="L59" s="3" t="str">
        <f>IFERROR(__xludf.DUMMYFUNCTION("""COMPUTED_VALUE"""),"A14.5")</f>
        <v>A14.5</v>
      </c>
      <c r="M59" s="3" t="str">
        <f>IFERROR(__xludf.DUMMYFUNCTION("""COMPUTED_VALUE"""),"Utility Cost per Sqft")</f>
        <v>Utility Cost per Sqft</v>
      </c>
    </row>
    <row r="60" spans="1:13" x14ac:dyDescent="0.25">
      <c r="A60" s="3" t="s">
        <v>35</v>
      </c>
      <c r="B60" s="3" t="s">
        <v>824</v>
      </c>
      <c r="C60" s="3" t="s">
        <v>825</v>
      </c>
      <c r="D60" s="3" t="s">
        <v>849</v>
      </c>
      <c r="E60" s="3" t="s">
        <v>850</v>
      </c>
      <c r="F60" s="7" t="s">
        <v>1723</v>
      </c>
      <c r="I60" s="3" t="str">
        <f>IFERROR(__xludf.DUMMYFUNCTION("""COMPUTED_VALUE"""),"WH_V1")</f>
        <v>WH_V1</v>
      </c>
      <c r="J60" s="3" t="str">
        <f>IFERROR(__xludf.DUMMYFUNCTION("""COMPUTED_VALUE"""),"A15")</f>
        <v>A15</v>
      </c>
      <c r="K60" s="3" t="str">
        <f>IFERROR(__xludf.DUMMYFUNCTION("""COMPUTED_VALUE"""),"Collection Center Operations (FnV)")</f>
        <v>Collection Center Operations (FnV)</v>
      </c>
      <c r="L60" s="3" t="str">
        <f>IFERROR(__xludf.DUMMYFUNCTION("""COMPUTED_VALUE"""),"A15.1")</f>
        <v>A15.1</v>
      </c>
      <c r="M60" s="3" t="str">
        <f>IFERROR(__xludf.DUMMYFUNCTION("""COMPUTED_VALUE"""),"Collection Center Setup &amp; Purpose")</f>
        <v>Collection Center Setup &amp; Purpose</v>
      </c>
    </row>
    <row r="61" spans="1:13" x14ac:dyDescent="0.25">
      <c r="A61" s="3" t="s">
        <v>35</v>
      </c>
      <c r="B61" s="3" t="s">
        <v>858</v>
      </c>
      <c r="C61" s="3" t="s">
        <v>859</v>
      </c>
      <c r="D61" s="3" t="s">
        <v>860</v>
      </c>
      <c r="E61" s="3" t="s">
        <v>861</v>
      </c>
      <c r="F61" s="7" t="s">
        <v>1723</v>
      </c>
      <c r="I61" s="3" t="str">
        <f>IFERROR(__xludf.DUMMYFUNCTION("""COMPUTED_VALUE"""),"WH_V1")</f>
        <v>WH_V1</v>
      </c>
      <c r="J61" s="3" t="str">
        <f>IFERROR(__xludf.DUMMYFUNCTION("""COMPUTED_VALUE"""),"A15")</f>
        <v>A15</v>
      </c>
      <c r="K61" s="3" t="str">
        <f>IFERROR(__xludf.DUMMYFUNCTION("""COMPUTED_VALUE"""),"Collection Center Operations (FnV)")</f>
        <v>Collection Center Operations (FnV)</v>
      </c>
      <c r="L61" s="3" t="str">
        <f>IFERROR(__xludf.DUMMYFUNCTION("""COMPUTED_VALUE"""),"A15.2")</f>
        <v>A15.2</v>
      </c>
      <c r="M61" s="3" t="str">
        <f>IFERROR(__xludf.DUMMYFUNCTION("""COMPUTED_VALUE"""),"Collection Center Timing &amp; Dispatch Cutoffs")</f>
        <v>Collection Center Timing &amp; Dispatch Cutoffs</v>
      </c>
    </row>
    <row r="62" spans="1:13" x14ac:dyDescent="0.25">
      <c r="A62" s="3" t="s">
        <v>35</v>
      </c>
      <c r="B62" s="3" t="s">
        <v>858</v>
      </c>
      <c r="C62" s="3" t="s">
        <v>859</v>
      </c>
      <c r="D62" s="3" t="s">
        <v>869</v>
      </c>
      <c r="E62" s="3" t="s">
        <v>870</v>
      </c>
      <c r="F62" s="7" t="s">
        <v>1723</v>
      </c>
      <c r="I62" s="3" t="str">
        <f>IFERROR(__xludf.DUMMYFUNCTION("""COMPUTED_VALUE"""),"WH_V1")</f>
        <v>WH_V1</v>
      </c>
      <c r="J62" s="3" t="str">
        <f>IFERROR(__xludf.DUMMYFUNCTION("""COMPUTED_VALUE"""),"A15")</f>
        <v>A15</v>
      </c>
      <c r="K62" s="3" t="str">
        <f>IFERROR(__xludf.DUMMYFUNCTION("""COMPUTED_VALUE"""),"Collection Center Operations (FnV)")</f>
        <v>Collection Center Operations (FnV)</v>
      </c>
      <c r="L62" s="3" t="str">
        <f>IFERROR(__xludf.DUMMYFUNCTION("""COMPUTED_VALUE"""),"A15.3")</f>
        <v>A15.3</v>
      </c>
      <c r="M62" s="3" t="str">
        <f>IFERROR(__xludf.DUMMYFUNCTION("""COMPUTED_VALUE"""),"Collection Center Processing Split")</f>
        <v>Collection Center Processing Split</v>
      </c>
    </row>
    <row r="63" spans="1:13" x14ac:dyDescent="0.25">
      <c r="A63" s="3" t="s">
        <v>35</v>
      </c>
      <c r="B63" s="3" t="s">
        <v>858</v>
      </c>
      <c r="C63" s="3" t="s">
        <v>859</v>
      </c>
      <c r="D63" s="3" t="s">
        <v>878</v>
      </c>
      <c r="E63" s="3" t="s">
        <v>879</v>
      </c>
      <c r="F63" s="7" t="s">
        <v>1723</v>
      </c>
      <c r="I63" s="3" t="str">
        <f>IFERROR(__xludf.DUMMYFUNCTION("""COMPUTED_VALUE"""),"WH_V1")</f>
        <v>WH_V1</v>
      </c>
      <c r="J63" s="3" t="str">
        <f>IFERROR(__xludf.DUMMYFUNCTION("""COMPUTED_VALUE"""),"A15")</f>
        <v>A15</v>
      </c>
      <c r="K63" s="3" t="str">
        <f>IFERROR(__xludf.DUMMYFUNCTION("""COMPUTED_VALUE"""),"Collection Center Operations (FnV)")</f>
        <v>Collection Center Operations (FnV)</v>
      </c>
      <c r="L63" s="3" t="str">
        <f>IFERROR(__xludf.DUMMYFUNCTION("""COMPUTED_VALUE"""),"A15.4")</f>
        <v>A15.4</v>
      </c>
      <c r="M63" s="3" t="str">
        <f>IFERROR(__xludf.DUMMYFUNCTION("""COMPUTED_VALUE"""),"Unloading Productivity Norms")</f>
        <v>Unloading Productivity Norms</v>
      </c>
    </row>
    <row r="64" spans="1:13" x14ac:dyDescent="0.25">
      <c r="A64" s="3" t="s">
        <v>35</v>
      </c>
      <c r="B64" s="3" t="s">
        <v>858</v>
      </c>
      <c r="C64" s="3" t="s">
        <v>859</v>
      </c>
      <c r="D64" s="3" t="s">
        <v>887</v>
      </c>
      <c r="E64" s="3" t="s">
        <v>888</v>
      </c>
      <c r="F64" s="7" t="s">
        <v>1723</v>
      </c>
      <c r="I64" s="3" t="str">
        <f>IFERROR(__xludf.DUMMYFUNCTION("""COMPUTED_VALUE"""),"WH_V1")</f>
        <v>WH_V1</v>
      </c>
      <c r="J64" s="3" t="str">
        <f>IFERROR(__xludf.DUMMYFUNCTION("""COMPUTED_VALUE"""),"A16")</f>
        <v>A16</v>
      </c>
      <c r="K64" s="3" t="str">
        <f>IFERROR(__xludf.DUMMYFUNCTION("""COMPUTED_VALUE"""),"Dark Store / Collection Hub Operations")</f>
        <v>Dark Store / Collection Hub Operations</v>
      </c>
      <c r="L64" s="3" t="str">
        <f>IFERROR(__xludf.DUMMYFUNCTION("""COMPUTED_VALUE"""),"A16.1")</f>
        <v>A16.1</v>
      </c>
      <c r="M64" s="3" t="str">
        <f>IFERROR(__xludf.DUMMYFUNCTION("""COMPUTED_VALUE"""),"Dark Store Receiving &amp; Putaway")</f>
        <v>Dark Store Receiving &amp; Putaway</v>
      </c>
    </row>
    <row r="65" spans="1:13" x14ac:dyDescent="0.25">
      <c r="A65" s="3" t="s">
        <v>35</v>
      </c>
      <c r="B65" s="3" t="s">
        <v>858</v>
      </c>
      <c r="C65" s="3" t="s">
        <v>859</v>
      </c>
      <c r="D65" s="3" t="s">
        <v>896</v>
      </c>
      <c r="E65" s="3" t="s">
        <v>897</v>
      </c>
      <c r="F65" s="7" t="s">
        <v>1723</v>
      </c>
      <c r="I65" s="3" t="str">
        <f>IFERROR(__xludf.DUMMYFUNCTION("""COMPUTED_VALUE"""),"WH_V1")</f>
        <v>WH_V1</v>
      </c>
      <c r="J65" s="3" t="str">
        <f>IFERROR(__xludf.DUMMYFUNCTION("""COMPUTED_VALUE"""),"A16")</f>
        <v>A16</v>
      </c>
      <c r="K65" s="3" t="str">
        <f>IFERROR(__xludf.DUMMYFUNCTION("""COMPUTED_VALUE"""),"Dark Store / Collection Hub Operations")</f>
        <v>Dark Store / Collection Hub Operations</v>
      </c>
      <c r="L65" s="3" t="str">
        <f>IFERROR(__xludf.DUMMYFUNCTION("""COMPUTED_VALUE"""),"A16.2")</f>
        <v>A16.2</v>
      </c>
      <c r="M65" s="3" t="str">
        <f>IFERROR(__xludf.DUMMYFUNCTION("""COMPUTED_VALUE"""),"Dark Store Picking &amp; Packing Productivity")</f>
        <v>Dark Store Picking &amp; Packing Productivity</v>
      </c>
    </row>
    <row r="66" spans="1:13" x14ac:dyDescent="0.25">
      <c r="A66" s="3" t="s">
        <v>35</v>
      </c>
      <c r="B66" s="3" t="s">
        <v>858</v>
      </c>
      <c r="C66" s="3" t="s">
        <v>859</v>
      </c>
      <c r="D66" s="3" t="s">
        <v>905</v>
      </c>
      <c r="E66" s="3" t="s">
        <v>906</v>
      </c>
      <c r="F66" s="7" t="s">
        <v>1723</v>
      </c>
      <c r="I66" s="3" t="str">
        <f>IFERROR(__xludf.DUMMYFUNCTION("""COMPUTED_VALUE"""),"WH_V1")</f>
        <v>WH_V1</v>
      </c>
      <c r="J66" s="3" t="str">
        <f>IFERROR(__xludf.DUMMYFUNCTION("""COMPUTED_VALUE"""),"A16")</f>
        <v>A16</v>
      </c>
      <c r="K66" s="3" t="str">
        <f>IFERROR(__xludf.DUMMYFUNCTION("""COMPUTED_VALUE"""),"Dark Store / Collection Hub Operations")</f>
        <v>Dark Store / Collection Hub Operations</v>
      </c>
      <c r="L66" s="3" t="str">
        <f>IFERROR(__xludf.DUMMYFUNCTION("""COMPUTED_VALUE"""),"A16.3")</f>
        <v>A16.3</v>
      </c>
      <c r="M66" s="3" t="str">
        <f>IFERROR(__xludf.DUMMYFUNCTION("""COMPUTED_VALUE"""),"Dark Store Order Fulfillment SLA")</f>
        <v>Dark Store Order Fulfillment SLA</v>
      </c>
    </row>
    <row r="67" spans="1:13" x14ac:dyDescent="0.25">
      <c r="A67" s="3" t="s">
        <v>35</v>
      </c>
      <c r="B67" s="3" t="s">
        <v>858</v>
      </c>
      <c r="C67" s="3" t="s">
        <v>859</v>
      </c>
      <c r="D67" s="3" t="s">
        <v>914</v>
      </c>
      <c r="E67" s="3" t="s">
        <v>915</v>
      </c>
      <c r="F67" s="7" t="s">
        <v>1723</v>
      </c>
      <c r="I67" s="3" t="str">
        <f>IFERROR(__xludf.DUMMYFUNCTION("""COMPUTED_VALUE"""),"WH_V1")</f>
        <v>WH_V1</v>
      </c>
      <c r="J67" s="3" t="str">
        <f>IFERROR(__xludf.DUMMYFUNCTION("""COMPUTED_VALUE"""),"A16")</f>
        <v>A16</v>
      </c>
      <c r="K67" s="3" t="str">
        <f>IFERROR(__xludf.DUMMYFUNCTION("""COMPUTED_VALUE"""),"Dark Store / Collection Hub Operations")</f>
        <v>Dark Store / Collection Hub Operations</v>
      </c>
      <c r="L67" s="3" t="str">
        <f>IFERROR(__xludf.DUMMYFUNCTION("""COMPUTED_VALUE"""),"A16.4")</f>
        <v>A16.4</v>
      </c>
      <c r="M67" s="3" t="str">
        <f>IFERROR(__xludf.DUMMYFUNCTION("""COMPUTED_VALUE"""),"Dark Store Layout &amp; Zoning")</f>
        <v>Dark Store Layout &amp; Zoning</v>
      </c>
    </row>
    <row r="68" spans="1:13" x14ac:dyDescent="0.25">
      <c r="A68" s="3" t="s">
        <v>35</v>
      </c>
      <c r="B68" s="3" t="s">
        <v>858</v>
      </c>
      <c r="C68" s="3" t="s">
        <v>859</v>
      </c>
      <c r="D68" s="3" t="s">
        <v>923</v>
      </c>
      <c r="E68" s="3" t="s">
        <v>924</v>
      </c>
      <c r="F68" s="7" t="s">
        <v>1723</v>
      </c>
      <c r="I68" s="3" t="str">
        <f>IFERROR(__xludf.DUMMYFUNCTION("""COMPUTED_VALUE"""),"WH_V1")</f>
        <v>WH_V1</v>
      </c>
      <c r="J68" s="3" t="str">
        <f>IFERROR(__xludf.DUMMYFUNCTION("""COMPUTED_VALUE"""),"A16")</f>
        <v>A16</v>
      </c>
      <c r="K68" s="3" t="str">
        <f>IFERROR(__xludf.DUMMYFUNCTION("""COMPUTED_VALUE"""),"Dark Store / Collection Hub Operations")</f>
        <v>Dark Store / Collection Hub Operations</v>
      </c>
      <c r="L68" s="3" t="str">
        <f>IFERROR(__xludf.DUMMYFUNCTION("""COMPUTED_VALUE"""),"A16.5")</f>
        <v>A16.5</v>
      </c>
      <c r="M68" s="3" t="str">
        <f>IFERROR(__xludf.DUMMYFUNCTION("""COMPUTED_VALUE"""),"Dark Store Replenishment &amp; Shelf Availability")</f>
        <v>Dark Store Replenishment &amp; Shelf Availability</v>
      </c>
    </row>
    <row r="69" spans="1:13" x14ac:dyDescent="0.25">
      <c r="A69" s="3" t="s">
        <v>35</v>
      </c>
      <c r="B69" s="3" t="s">
        <v>858</v>
      </c>
      <c r="C69" s="3" t="s">
        <v>859</v>
      </c>
      <c r="D69" s="3" t="s">
        <v>932</v>
      </c>
      <c r="E69" s="3" t="s">
        <v>933</v>
      </c>
      <c r="F69" s="7" t="s">
        <v>1723</v>
      </c>
      <c r="I69" s="3" t="str">
        <f>IFERROR(__xludf.DUMMYFUNCTION("""COMPUTED_VALUE"""),"WH_V1")</f>
        <v>WH_V1</v>
      </c>
      <c r="J69" s="3" t="str">
        <f>IFERROR(__xludf.DUMMYFUNCTION("""COMPUTED_VALUE"""),"A16")</f>
        <v>A16</v>
      </c>
      <c r="K69" s="3" t="str">
        <f>IFERROR(__xludf.DUMMYFUNCTION("""COMPUTED_VALUE"""),"Dark Store / Collection Hub Operations")</f>
        <v>Dark Store / Collection Hub Operations</v>
      </c>
      <c r="L69" s="3" t="str">
        <f>IFERROR(__xludf.DUMMYFUNCTION("""COMPUTED_VALUE"""),"A16.6")</f>
        <v>A16.6</v>
      </c>
      <c r="M69" s="3" t="str">
        <f>IFERROR(__xludf.DUMMYFUNCTION("""COMPUTED_VALUE"""),"Dark Store Capacity Adequacy")</f>
        <v>Dark Store Capacity Adequacy</v>
      </c>
    </row>
    <row r="70" spans="1:13" x14ac:dyDescent="0.25">
      <c r="A70" s="3" t="s">
        <v>35</v>
      </c>
      <c r="B70" s="3" t="s">
        <v>56</v>
      </c>
      <c r="C70" s="3" t="s">
        <v>57</v>
      </c>
      <c r="D70" s="3" t="s">
        <v>58</v>
      </c>
      <c r="E70" s="3" t="s">
        <v>59</v>
      </c>
      <c r="F70" s="7" t="s">
        <v>1723</v>
      </c>
      <c r="I70" s="3" t="str">
        <f>IFERROR(__xludf.DUMMYFUNCTION("""COMPUTED_VALUE"""),"WH_V1")</f>
        <v>WH_V1</v>
      </c>
      <c r="J70" s="3" t="str">
        <f>IFERROR(__xludf.DUMMYFUNCTION("""COMPUTED_VALUE"""),"A16")</f>
        <v>A16</v>
      </c>
      <c r="K70" s="3" t="str">
        <f>IFERROR(__xludf.DUMMYFUNCTION("""COMPUTED_VALUE"""),"Dark Store / Collection Hub Operations")</f>
        <v>Dark Store / Collection Hub Operations</v>
      </c>
      <c r="L70" s="3" t="str">
        <f>IFERROR(__xludf.DUMMYFUNCTION("""COMPUTED_VALUE"""),"A16.7")</f>
        <v>A16.7</v>
      </c>
      <c r="M70" s="3" t="str">
        <f>IFERROR(__xludf.DUMMYFUNCTION("""COMPUTED_VALUE"""),"Forecast-to-Replenishment Linkage")</f>
        <v>Forecast-to-Replenishment Linkage</v>
      </c>
    </row>
    <row r="71" spans="1:13" x14ac:dyDescent="0.25">
      <c r="A71" s="3" t="s">
        <v>35</v>
      </c>
      <c r="B71" s="3" t="s">
        <v>56</v>
      </c>
      <c r="C71" s="3" t="s">
        <v>57</v>
      </c>
      <c r="D71" s="3" t="s">
        <v>70</v>
      </c>
      <c r="E71" s="3" t="s">
        <v>71</v>
      </c>
      <c r="F71" s="7" t="s">
        <v>1723</v>
      </c>
      <c r="I71" s="3" t="str">
        <f>IFERROR(__xludf.DUMMYFUNCTION("""COMPUTED_VALUE"""),"WH_V1")</f>
        <v>WH_V1</v>
      </c>
      <c r="J71" s="3" t="str">
        <f>IFERROR(__xludf.DUMMYFUNCTION("""COMPUTED_VALUE"""),"A16")</f>
        <v>A16</v>
      </c>
      <c r="K71" s="3" t="str">
        <f>IFERROR(__xludf.DUMMYFUNCTION("""COMPUTED_VALUE"""),"Dark Store / Collection Hub Operations")</f>
        <v>Dark Store / Collection Hub Operations</v>
      </c>
      <c r="L71" s="3" t="str">
        <f>IFERROR(__xludf.DUMMYFUNCTION("""COMPUTED_VALUE"""),"A16.8")</f>
        <v>A16.8</v>
      </c>
      <c r="M71" s="3" t="str">
        <f>IFERROR(__xludf.DUMMYFUNCTION("""COMPUTED_VALUE"""),"Replenishment Frequency &amp; Fill Rate")</f>
        <v>Replenishment Frequency &amp; Fill Rate</v>
      </c>
    </row>
    <row r="72" spans="1:13" x14ac:dyDescent="0.25">
      <c r="A72" s="3" t="s">
        <v>35</v>
      </c>
      <c r="B72" s="3" t="s">
        <v>56</v>
      </c>
      <c r="C72" s="3" t="s">
        <v>57</v>
      </c>
      <c r="D72" s="3" t="s">
        <v>79</v>
      </c>
      <c r="E72" s="3" t="s">
        <v>80</v>
      </c>
      <c r="F72" s="7" t="s">
        <v>1723</v>
      </c>
      <c r="I72" s="3" t="str">
        <f>IFERROR(__xludf.DUMMYFUNCTION("""COMPUTED_VALUE"""),"WH_V1")</f>
        <v>WH_V1</v>
      </c>
      <c r="J72" s="3" t="str">
        <f>IFERROR(__xludf.DUMMYFUNCTION("""COMPUTED_VALUE"""),"A16")</f>
        <v>A16</v>
      </c>
      <c r="K72" s="3" t="str">
        <f>IFERROR(__xludf.DUMMYFUNCTION("""COMPUTED_VALUE"""),"Dark Store / Collection Hub Operations")</f>
        <v>Dark Store / Collection Hub Operations</v>
      </c>
      <c r="L72" s="3" t="str">
        <f>IFERROR(__xludf.DUMMYFUNCTION("""COMPUTED_VALUE"""),"A16.9")</f>
        <v>A16.9</v>
      </c>
      <c r="M72" s="3" t="str">
        <f>IFERROR(__xludf.DUMMYFUNCTION("""COMPUTED_VALUE"""),"Stock-out &amp; Excess Inventory Management")</f>
        <v>Stock-out &amp; Excess Inventory Management</v>
      </c>
    </row>
    <row r="73" spans="1:13" x14ac:dyDescent="0.25">
      <c r="A73" s="3" t="s">
        <v>35</v>
      </c>
      <c r="B73" s="3" t="s">
        <v>941</v>
      </c>
      <c r="C73" s="3" t="s">
        <v>942</v>
      </c>
      <c r="D73" s="3" t="s">
        <v>943</v>
      </c>
      <c r="E73" s="3" t="s">
        <v>944</v>
      </c>
      <c r="F73" s="7" t="s">
        <v>1723</v>
      </c>
      <c r="I73" s="3" t="str">
        <f>IFERROR(__xludf.DUMMYFUNCTION("""COMPUTED_VALUE"""),"WH_V1")</f>
        <v>WH_V1</v>
      </c>
      <c r="J73" s="3" t="str">
        <f>IFERROR(__xludf.DUMMYFUNCTION("""COMPUTED_VALUE"""),"A17")</f>
        <v>A17</v>
      </c>
      <c r="K73" s="3" t="str">
        <f>IFERROR(__xludf.DUMMYFUNCTION("""COMPUTED_VALUE"""),"Middle-Mile Transportation")</f>
        <v>Middle-Mile Transportation</v>
      </c>
      <c r="L73" s="3" t="str">
        <f>IFERROR(__xludf.DUMMYFUNCTION("""COMPUTED_VALUE"""),"A17.1")</f>
        <v>A17.1</v>
      </c>
      <c r="M73" s="3" t="str">
        <f>IFERROR(__xludf.DUMMYFUNCTION("""COMPUTED_VALUE"""),"Fleet Availability &amp; Adequacy")</f>
        <v>Fleet Availability &amp; Adequacy</v>
      </c>
    </row>
    <row r="74" spans="1:13" x14ac:dyDescent="0.25">
      <c r="A74" s="3" t="s">
        <v>35</v>
      </c>
      <c r="B74" s="3" t="s">
        <v>941</v>
      </c>
      <c r="C74" s="3" t="s">
        <v>942</v>
      </c>
      <c r="D74" s="3" t="s">
        <v>952</v>
      </c>
      <c r="E74" s="3" t="s">
        <v>953</v>
      </c>
      <c r="F74" s="7" t="s">
        <v>1723</v>
      </c>
      <c r="I74" s="3" t="str">
        <f>IFERROR(__xludf.DUMMYFUNCTION("""COMPUTED_VALUE"""),"WH_V1")</f>
        <v>WH_V1</v>
      </c>
      <c r="J74" s="3" t="str">
        <f>IFERROR(__xludf.DUMMYFUNCTION("""COMPUTED_VALUE"""),"A17")</f>
        <v>A17</v>
      </c>
      <c r="K74" s="3" t="str">
        <f>IFERROR(__xludf.DUMMYFUNCTION("""COMPUTED_VALUE"""),"Middle-Mile Transportation")</f>
        <v>Middle-Mile Transportation</v>
      </c>
      <c r="L74" s="3" t="str">
        <f>IFERROR(__xludf.DUMMYFUNCTION("""COMPUTED_VALUE"""),"A17.2")</f>
        <v>A17.2</v>
      </c>
      <c r="M74" s="3" t="str">
        <f>IFERROR(__xludf.DUMMYFUNCTION("""COMPUTED_VALUE"""),"Vehicle Utilization")</f>
        <v>Vehicle Utilization</v>
      </c>
    </row>
    <row r="75" spans="1:13" x14ac:dyDescent="0.25">
      <c r="A75" s="3" t="s">
        <v>35</v>
      </c>
      <c r="B75" s="3" t="s">
        <v>941</v>
      </c>
      <c r="C75" s="3" t="s">
        <v>942</v>
      </c>
      <c r="D75" s="3" t="s">
        <v>961</v>
      </c>
      <c r="E75" s="3" t="s">
        <v>962</v>
      </c>
      <c r="F75" s="7" t="s">
        <v>1723</v>
      </c>
      <c r="I75" s="3" t="str">
        <f>IFERROR(__xludf.DUMMYFUNCTION("""COMPUTED_VALUE"""),"WH_V1")</f>
        <v>WH_V1</v>
      </c>
      <c r="J75" s="3" t="str">
        <f>IFERROR(__xludf.DUMMYFUNCTION("""COMPUTED_VALUE"""),"A17")</f>
        <v>A17</v>
      </c>
      <c r="K75" s="3" t="str">
        <f>IFERROR(__xludf.DUMMYFUNCTION("""COMPUTED_VALUE"""),"Middle-Mile Transportation")</f>
        <v>Middle-Mile Transportation</v>
      </c>
      <c r="L75" s="3" t="str">
        <f>IFERROR(__xludf.DUMMYFUNCTION("""COMPUTED_VALUE"""),"A17.3")</f>
        <v>A17.3</v>
      </c>
      <c r="M75" s="3" t="str">
        <f>IFERROR(__xludf.DUMMYFUNCTION("""COMPUTED_VALUE"""),"Middle-Mile Service Levels")</f>
        <v>Middle-Mile Service Levels</v>
      </c>
    </row>
    <row r="76" spans="1:13" x14ac:dyDescent="0.25">
      <c r="A76" s="3" t="s">
        <v>35</v>
      </c>
      <c r="B76" s="3" t="s">
        <v>941</v>
      </c>
      <c r="C76" s="3" t="s">
        <v>942</v>
      </c>
      <c r="D76" s="3" t="s">
        <v>970</v>
      </c>
      <c r="E76" s="3" t="s">
        <v>971</v>
      </c>
      <c r="F76" s="7" t="s">
        <v>1723</v>
      </c>
      <c r="I76" s="3" t="str">
        <f>IFERROR(__xludf.DUMMYFUNCTION("""COMPUTED_VALUE"""),"WH_V1")</f>
        <v>WH_V1</v>
      </c>
      <c r="J76" s="3" t="str">
        <f>IFERROR(__xludf.DUMMYFUNCTION("""COMPUTED_VALUE"""),"A17")</f>
        <v>A17</v>
      </c>
      <c r="K76" s="3" t="str">
        <f>IFERROR(__xludf.DUMMYFUNCTION("""COMPUTED_VALUE"""),"Middle-Mile Transportation")</f>
        <v>Middle-Mile Transportation</v>
      </c>
      <c r="L76" s="3" t="str">
        <f>IFERROR(__xludf.DUMMYFUNCTION("""COMPUTED_VALUE"""),"A17.4")</f>
        <v>A17.4</v>
      </c>
      <c r="M76" s="3" t="str">
        <f>IFERROR(__xludf.DUMMYFUNCTION("""COMPUTED_VALUE"""),"Middle-Mile Transportation Cost")</f>
        <v>Middle-Mile Transportation Cost</v>
      </c>
    </row>
    <row r="77" spans="1:13" x14ac:dyDescent="0.25">
      <c r="A77" s="3" t="s">
        <v>35</v>
      </c>
      <c r="B77" s="3" t="s">
        <v>941</v>
      </c>
      <c r="C77" s="3" t="s">
        <v>942</v>
      </c>
      <c r="D77" s="3" t="s">
        <v>979</v>
      </c>
      <c r="E77" s="3" t="s">
        <v>980</v>
      </c>
      <c r="F77" s="7" t="s">
        <v>1723</v>
      </c>
      <c r="I77" s="3" t="str">
        <f>IFERROR(__xludf.DUMMYFUNCTION("""COMPUTED_VALUE"""),"WH_V1")</f>
        <v>WH_V1</v>
      </c>
      <c r="J77" s="3" t="str">
        <f>IFERROR(__xludf.DUMMYFUNCTION("""COMPUTED_VALUE"""),"A17")</f>
        <v>A17</v>
      </c>
      <c r="K77" s="3" t="str">
        <f>IFERROR(__xludf.DUMMYFUNCTION("""COMPUTED_VALUE"""),"Middle-Mile Transportation")</f>
        <v>Middle-Mile Transportation</v>
      </c>
      <c r="L77" s="3" t="str">
        <f>IFERROR(__xludf.DUMMYFUNCTION("""COMPUTED_VALUE"""),"A17.5")</f>
        <v>A17.5</v>
      </c>
      <c r="M77" s="3" t="str">
        <f>IFERROR(__xludf.DUMMYFUNCTION("""COMPUTED_VALUE"""),"Reefer Vehicle Compliance &amp; Performance")</f>
        <v>Reefer Vehicle Compliance &amp; Performance</v>
      </c>
    </row>
    <row r="78" spans="1:13" x14ac:dyDescent="0.25">
      <c r="A78" s="3" t="s">
        <v>35</v>
      </c>
      <c r="B78" s="3" t="s">
        <v>941</v>
      </c>
      <c r="C78" s="3" t="s">
        <v>942</v>
      </c>
      <c r="D78" s="3" t="s">
        <v>988</v>
      </c>
      <c r="E78" s="3" t="s">
        <v>989</v>
      </c>
      <c r="F78" s="7" t="s">
        <v>1723</v>
      </c>
      <c r="I78" s="3" t="str">
        <f>IFERROR(__xludf.DUMMYFUNCTION("""COMPUTED_VALUE"""),"WH_V1")</f>
        <v>WH_V1</v>
      </c>
      <c r="J78" s="3" t="str">
        <f>IFERROR(__xludf.DUMMYFUNCTION("""COMPUTED_VALUE"""),"A18")</f>
        <v>A18</v>
      </c>
      <c r="K78" s="3" t="str">
        <f>IFERROR(__xludf.DUMMYFUNCTION("""COMPUTED_VALUE"""),"Dispatch Wave Diagnostics")</f>
        <v>Dispatch Wave Diagnostics</v>
      </c>
      <c r="L78" s="3" t="str">
        <f>IFERROR(__xludf.DUMMYFUNCTION("""COMPUTED_VALUE"""),"A18.1")</f>
        <v>A18.1</v>
      </c>
      <c r="M78" s="3" t="str">
        <f>IFERROR(__xludf.DUMMYFUNCTION("""COMPUTED_VALUE"""),"Wave Architecture &amp; Volume Distribution")</f>
        <v>Wave Architecture &amp; Volume Distribution</v>
      </c>
    </row>
    <row r="79" spans="1:13" x14ac:dyDescent="0.25">
      <c r="A79" s="3" t="s">
        <v>35</v>
      </c>
      <c r="B79" s="3" t="s">
        <v>941</v>
      </c>
      <c r="C79" s="3" t="s">
        <v>942</v>
      </c>
      <c r="D79" s="3" t="s">
        <v>997</v>
      </c>
      <c r="E79" s="3" t="s">
        <v>998</v>
      </c>
      <c r="F79" s="7" t="s">
        <v>1723</v>
      </c>
      <c r="I79" s="3" t="str">
        <f>IFERROR(__xludf.DUMMYFUNCTION("""COMPUTED_VALUE"""),"WH_V1")</f>
        <v>WH_V1</v>
      </c>
      <c r="J79" s="3" t="str">
        <f>IFERROR(__xludf.DUMMYFUNCTION("""COMPUTED_VALUE"""),"A18")</f>
        <v>A18</v>
      </c>
      <c r="K79" s="3" t="str">
        <f>IFERROR(__xludf.DUMMYFUNCTION("""COMPUTED_VALUE"""),"Dispatch Wave Diagnostics")</f>
        <v>Dispatch Wave Diagnostics</v>
      </c>
      <c r="L79" s="3" t="str">
        <f>IFERROR(__xludf.DUMMYFUNCTION("""COMPUTED_VALUE"""),"A18.2")</f>
        <v>A18.2</v>
      </c>
      <c r="M79" s="3" t="str">
        <f>IFERROR(__xludf.DUMMYFUNCTION("""COMPUTED_VALUE"""),"Wave Readiness")</f>
        <v>Wave Readiness</v>
      </c>
    </row>
    <row r="80" spans="1:13" x14ac:dyDescent="0.25">
      <c r="A80" s="3" t="s">
        <v>35</v>
      </c>
      <c r="B80" s="3" t="s">
        <v>941</v>
      </c>
      <c r="C80" s="3" t="s">
        <v>942</v>
      </c>
      <c r="D80" s="3" t="s">
        <v>1006</v>
      </c>
      <c r="E80" s="3" t="s">
        <v>1007</v>
      </c>
      <c r="F80" s="7" t="s">
        <v>1723</v>
      </c>
      <c r="I80" s="3" t="str">
        <f>IFERROR(__xludf.DUMMYFUNCTION("""COMPUTED_VALUE"""),"WH_V1")</f>
        <v>WH_V1</v>
      </c>
      <c r="J80" s="3" t="str">
        <f>IFERROR(__xludf.DUMMYFUNCTION("""COMPUTED_VALUE"""),"A18")</f>
        <v>A18</v>
      </c>
      <c r="K80" s="3" t="str">
        <f>IFERROR(__xludf.DUMMYFUNCTION("""COMPUTED_VALUE"""),"Dispatch Wave Diagnostics")</f>
        <v>Dispatch Wave Diagnostics</v>
      </c>
      <c r="L80" s="3" t="str">
        <f>IFERROR(__xludf.DUMMYFUNCTION("""COMPUTED_VALUE"""),"A18.3")</f>
        <v>A18.3</v>
      </c>
      <c r="M80" s="3" t="str">
        <f>IFERROR(__xludf.DUMMYFUNCTION("""COMPUTED_VALUE"""),"Wave-to-Demand Alignment")</f>
        <v>Wave-to-Demand Alignment</v>
      </c>
    </row>
    <row r="81" spans="1:13" x14ac:dyDescent="0.25">
      <c r="A81" s="3" t="s">
        <v>35</v>
      </c>
      <c r="B81" s="3" t="s">
        <v>1015</v>
      </c>
      <c r="C81" s="3" t="s">
        <v>1016</v>
      </c>
      <c r="D81" s="3" t="s">
        <v>1017</v>
      </c>
      <c r="E81" s="3" t="s">
        <v>1018</v>
      </c>
      <c r="F81" s="7" t="s">
        <v>1723</v>
      </c>
      <c r="I81" s="3" t="str">
        <f>IFERROR(__xludf.DUMMYFUNCTION("""COMPUTED_VALUE"""),"WH_V1")</f>
        <v>WH_V1</v>
      </c>
      <c r="J81" s="3" t="str">
        <f>IFERROR(__xludf.DUMMYFUNCTION("""COMPUTED_VALUE"""),"A19")</f>
        <v>A19</v>
      </c>
      <c r="K81" s="3" t="str">
        <f>IFERROR(__xludf.DUMMYFUNCTION("""COMPUTED_VALUE"""),"Control Tower &amp; End-to-End Visibility")</f>
        <v>Control Tower &amp; End-to-End Visibility</v>
      </c>
      <c r="L81" s="3" t="str">
        <f>IFERROR(__xludf.DUMMYFUNCTION("""COMPUTED_VALUE"""),"A19.1")</f>
        <v>A19.1</v>
      </c>
      <c r="M81" s="3" t="str">
        <f>IFERROR(__xludf.DUMMYFUNCTION("""COMPUTED_VALUE"""),"Inbound Visibility")</f>
        <v>Inbound Visibility</v>
      </c>
    </row>
    <row r="82" spans="1:13" x14ac:dyDescent="0.25">
      <c r="A82" s="3" t="s">
        <v>35</v>
      </c>
      <c r="B82" s="3" t="s">
        <v>1015</v>
      </c>
      <c r="C82" s="3" t="s">
        <v>1016</v>
      </c>
      <c r="D82" s="3" t="s">
        <v>1027</v>
      </c>
      <c r="E82" s="3" t="s">
        <v>1028</v>
      </c>
      <c r="F82" s="7" t="s">
        <v>1723</v>
      </c>
      <c r="I82" s="3" t="str">
        <f>IFERROR(__xludf.DUMMYFUNCTION("""COMPUTED_VALUE"""),"WH_V1")</f>
        <v>WH_V1</v>
      </c>
      <c r="J82" s="3" t="str">
        <f>IFERROR(__xludf.DUMMYFUNCTION("""COMPUTED_VALUE"""),"A19")</f>
        <v>A19</v>
      </c>
      <c r="K82" s="3" t="str">
        <f>IFERROR(__xludf.DUMMYFUNCTION("""COMPUTED_VALUE"""),"Control Tower &amp; End-to-End Visibility")</f>
        <v>Control Tower &amp; End-to-End Visibility</v>
      </c>
      <c r="L82" s="3" t="str">
        <f>IFERROR(__xludf.DUMMYFUNCTION("""COMPUTED_VALUE"""),"A19.2")</f>
        <v>A19.2</v>
      </c>
      <c r="M82" s="3" t="str">
        <f>IFERROR(__xludf.DUMMYFUNCTION("""COMPUTED_VALUE"""),"Processing Visibility")</f>
        <v>Processing Visibility</v>
      </c>
    </row>
    <row r="83" spans="1:13" x14ac:dyDescent="0.25">
      <c r="A83" s="3" t="s">
        <v>35</v>
      </c>
      <c r="B83" s="3" t="s">
        <v>1015</v>
      </c>
      <c r="C83" s="3" t="s">
        <v>1016</v>
      </c>
      <c r="D83" s="3" t="s">
        <v>1036</v>
      </c>
      <c r="E83" s="3" t="s">
        <v>1037</v>
      </c>
      <c r="F83" s="7" t="s">
        <v>1723</v>
      </c>
      <c r="I83" s="3" t="str">
        <f>IFERROR(__xludf.DUMMYFUNCTION("""COMPUTED_VALUE"""),"WH_V1")</f>
        <v>WH_V1</v>
      </c>
      <c r="J83" s="3" t="str">
        <f>IFERROR(__xludf.DUMMYFUNCTION("""COMPUTED_VALUE"""),"A19")</f>
        <v>A19</v>
      </c>
      <c r="K83" s="3" t="str">
        <f>IFERROR(__xludf.DUMMYFUNCTION("""COMPUTED_VALUE"""),"Control Tower &amp; End-to-End Visibility")</f>
        <v>Control Tower &amp; End-to-End Visibility</v>
      </c>
      <c r="L83" s="3" t="str">
        <f>IFERROR(__xludf.DUMMYFUNCTION("""COMPUTED_VALUE"""),"A19.3")</f>
        <v>A19.3</v>
      </c>
      <c r="M83" s="3" t="str">
        <f>IFERROR(__xludf.DUMMYFUNCTION("""COMPUTED_VALUE"""),"Inventory Visibility")</f>
        <v>Inventory Visibility</v>
      </c>
    </row>
    <row r="84" spans="1:13" x14ac:dyDescent="0.25">
      <c r="A84" s="3" t="s">
        <v>35</v>
      </c>
      <c r="B84" s="3" t="s">
        <v>1046</v>
      </c>
      <c r="C84" s="3" t="s">
        <v>1047</v>
      </c>
      <c r="D84" s="3" t="s">
        <v>1048</v>
      </c>
      <c r="E84" s="3" t="s">
        <v>1049</v>
      </c>
      <c r="F84" s="7" t="s">
        <v>1723</v>
      </c>
      <c r="I84" s="3" t="str">
        <f>IFERROR(__xludf.DUMMYFUNCTION("""COMPUTED_VALUE"""),"WH_V1")</f>
        <v>WH_V1</v>
      </c>
      <c r="J84" s="3" t="str">
        <f>IFERROR(__xludf.DUMMYFUNCTION("""COMPUTED_VALUE"""),"A19")</f>
        <v>A19</v>
      </c>
      <c r="K84" s="3" t="str">
        <f>IFERROR(__xludf.DUMMYFUNCTION("""COMPUTED_VALUE"""),"Control Tower &amp; End-to-End Visibility")</f>
        <v>Control Tower &amp; End-to-End Visibility</v>
      </c>
      <c r="L84" s="3" t="str">
        <f>IFERROR(__xludf.DUMMYFUNCTION("""COMPUTED_VALUE"""),"A19.4")</f>
        <v>A19.4</v>
      </c>
      <c r="M84" s="3" t="str">
        <f>IFERROR(__xludf.DUMMYFUNCTION("""COMPUTED_VALUE"""),"Dispatch Visibility")</f>
        <v>Dispatch Visibility</v>
      </c>
    </row>
    <row r="85" spans="1:13" x14ac:dyDescent="0.25">
      <c r="A85" s="3" t="s">
        <v>35</v>
      </c>
      <c r="B85" s="3" t="s">
        <v>1046</v>
      </c>
      <c r="C85" s="3" t="s">
        <v>1047</v>
      </c>
      <c r="D85" s="3" t="s">
        <v>1057</v>
      </c>
      <c r="E85" s="3" t="s">
        <v>1058</v>
      </c>
      <c r="F85" s="7" t="s">
        <v>1723</v>
      </c>
      <c r="I85" s="3" t="str">
        <f>IFERROR(__xludf.DUMMYFUNCTION("""COMPUTED_VALUE"""),"WH_V1")</f>
        <v>WH_V1</v>
      </c>
      <c r="J85" s="3" t="str">
        <f>IFERROR(__xludf.DUMMYFUNCTION("""COMPUTED_VALUE"""),"A19")</f>
        <v>A19</v>
      </c>
      <c r="K85" s="3" t="str">
        <f>IFERROR(__xludf.DUMMYFUNCTION("""COMPUTED_VALUE"""),"Control Tower &amp; End-to-End Visibility")</f>
        <v>Control Tower &amp; End-to-End Visibility</v>
      </c>
      <c r="L85" s="3" t="str">
        <f>IFERROR(__xludf.DUMMYFUNCTION("""COMPUTED_VALUE"""),"A19.5")</f>
        <v>A19.5</v>
      </c>
      <c r="M85" s="3" t="str">
        <f>IFERROR(__xludf.DUMMYFUNCTION("""COMPUTED_VALUE"""),"Middle-Mile Visibility")</f>
        <v>Middle-Mile Visibility</v>
      </c>
    </row>
    <row r="86" spans="1:13" x14ac:dyDescent="0.25">
      <c r="A86" s="3" t="s">
        <v>35</v>
      </c>
      <c r="B86" s="3" t="s">
        <v>1046</v>
      </c>
      <c r="C86" s="3" t="s">
        <v>1047</v>
      </c>
      <c r="D86" s="3" t="s">
        <v>1066</v>
      </c>
      <c r="E86" s="3" t="s">
        <v>1067</v>
      </c>
      <c r="F86" s="7" t="s">
        <v>1723</v>
      </c>
      <c r="I86" s="3" t="str">
        <f>IFERROR(__xludf.DUMMYFUNCTION("""COMPUTED_VALUE"""),"WH_V1")</f>
        <v>WH_V1</v>
      </c>
      <c r="J86" s="3" t="str">
        <f>IFERROR(__xludf.DUMMYFUNCTION("""COMPUTED_VALUE"""),"A19")</f>
        <v>A19</v>
      </c>
      <c r="K86" s="3" t="str">
        <f>IFERROR(__xludf.DUMMYFUNCTION("""COMPUTED_VALUE"""),"Control Tower &amp; End-to-End Visibility")</f>
        <v>Control Tower &amp; End-to-End Visibility</v>
      </c>
      <c r="L86" s="3" t="str">
        <f>IFERROR(__xludf.DUMMYFUNCTION("""COMPUTED_VALUE"""),"A19.6")</f>
        <v>A19.6</v>
      </c>
      <c r="M86" s="3" t="str">
        <f>IFERROR(__xludf.DUMMYFUNCTION("""COMPUTED_VALUE"""),"Dark-Store Visibility")</f>
        <v>Dark-Store Visibility</v>
      </c>
    </row>
    <row r="87" spans="1:13" x14ac:dyDescent="0.25">
      <c r="A87" s="3" t="s">
        <v>35</v>
      </c>
      <c r="B87" s="3" t="s">
        <v>1046</v>
      </c>
      <c r="C87" s="3" t="s">
        <v>1047</v>
      </c>
      <c r="D87" s="3" t="s">
        <v>1075</v>
      </c>
      <c r="E87" s="3" t="s">
        <v>1076</v>
      </c>
      <c r="F87" s="7" t="s">
        <v>1723</v>
      </c>
      <c r="I87" s="3" t="str">
        <f>IFERROR(__xludf.DUMMYFUNCTION("""COMPUTED_VALUE"""),"WH_V1")</f>
        <v>WH_V1</v>
      </c>
      <c r="J87" s="3" t="str">
        <f>IFERROR(__xludf.DUMMYFUNCTION("""COMPUTED_VALUE"""),"A19")</f>
        <v>A19</v>
      </c>
      <c r="K87" s="3" t="str">
        <f>IFERROR(__xludf.DUMMYFUNCTION("""COMPUTED_VALUE"""),"Control Tower &amp; End-to-End Visibility")</f>
        <v>Control Tower &amp; End-to-End Visibility</v>
      </c>
      <c r="L87" s="3" t="str">
        <f>IFERROR(__xludf.DUMMYFUNCTION("""COMPUTED_VALUE"""),"A19.7")</f>
        <v>A19.7</v>
      </c>
      <c r="M87" s="3" t="str">
        <f>IFERROR(__xludf.DUMMYFUNCTION("""COMPUTED_VALUE"""),"Control Tower Maturity (Exception Management &amp; Decision-Making)")</f>
        <v>Control Tower Maturity (Exception Management &amp; Decision-Making)</v>
      </c>
    </row>
    <row r="88" spans="1:13" x14ac:dyDescent="0.25">
      <c r="A88" s="3" t="s">
        <v>35</v>
      </c>
      <c r="B88" s="3" t="s">
        <v>1046</v>
      </c>
      <c r="C88" s="3" t="s">
        <v>1047</v>
      </c>
      <c r="D88" s="3" t="s">
        <v>1084</v>
      </c>
      <c r="E88" s="3" t="s">
        <v>1085</v>
      </c>
      <c r="F88" s="7" t="s">
        <v>1723</v>
      </c>
      <c r="I88" s="3" t="str">
        <f>IFERROR(__xludf.DUMMYFUNCTION("""COMPUTED_VALUE"""),"WH_V1")</f>
        <v>WH_V1</v>
      </c>
      <c r="J88" s="3" t="str">
        <f>IFERROR(__xludf.DUMMYFUNCTION("""COMPUTED_VALUE"""),"A19")</f>
        <v>A19</v>
      </c>
      <c r="K88" s="3" t="str">
        <f>IFERROR(__xludf.DUMMYFUNCTION("""COMPUTED_VALUE"""),"Control Tower &amp; End-to-End Visibility")</f>
        <v>Control Tower &amp; End-to-End Visibility</v>
      </c>
      <c r="L88" s="3" t="str">
        <f>IFERROR(__xludf.DUMMYFUNCTION("""COMPUTED_VALUE"""),"A19.8")</f>
        <v>A19.8</v>
      </c>
      <c r="M88" s="3" t="str">
        <f>IFERROR(__xludf.DUMMYFUNCTION("""COMPUTED_VALUE"""),"Crate Return Visibility")</f>
        <v>Crate Return Visibility</v>
      </c>
    </row>
    <row r="89" spans="1:13" x14ac:dyDescent="0.25">
      <c r="A89" s="3" t="s">
        <v>35</v>
      </c>
      <c r="B89" s="3" t="s">
        <v>1094</v>
      </c>
      <c r="C89" s="3" t="s">
        <v>1095</v>
      </c>
      <c r="D89" s="3" t="s">
        <v>1096</v>
      </c>
      <c r="E89" s="3" t="s">
        <v>1097</v>
      </c>
      <c r="F89" s="7" t="s">
        <v>1723</v>
      </c>
      <c r="I89" s="3" t="str">
        <f>IFERROR(__xludf.DUMMYFUNCTION("""COMPUTED_VALUE"""),"WH_V1")</f>
        <v>WH_V1</v>
      </c>
      <c r="J89" s="3" t="str">
        <f>IFERROR(__xludf.DUMMYFUNCTION("""COMPUTED_VALUE"""),"A19")</f>
        <v>A19</v>
      </c>
      <c r="K89" s="3" t="str">
        <f>IFERROR(__xludf.DUMMYFUNCTION("""COMPUTED_VALUE"""),"Control Tower &amp; End-to-End Visibility")</f>
        <v>Control Tower &amp; End-to-End Visibility</v>
      </c>
      <c r="L89" s="3" t="str">
        <f>IFERROR(__xludf.DUMMYFUNCTION("""COMPUTED_VALUE"""),"A19.9")</f>
        <v>A19.9</v>
      </c>
      <c r="M89" s="3" t="str">
        <f>IFERROR(__xludf.DUMMYFUNCTION("""COMPUTED_VALUE"""),"Order Management System (OMS) Visibility")</f>
        <v>Order Management System (OMS) Visibility</v>
      </c>
    </row>
    <row r="90" spans="1:13" x14ac:dyDescent="0.25">
      <c r="A90" s="3" t="s">
        <v>35</v>
      </c>
      <c r="B90" s="3" t="s">
        <v>1094</v>
      </c>
      <c r="C90" s="3" t="s">
        <v>1095</v>
      </c>
      <c r="D90" s="3" t="s">
        <v>1105</v>
      </c>
      <c r="E90" s="3" t="s">
        <v>1106</v>
      </c>
      <c r="F90" s="7" t="s">
        <v>1723</v>
      </c>
      <c r="I90" s="3" t="str">
        <f>IFERROR(__xludf.DUMMYFUNCTION("""COMPUTED_VALUE"""),"WH_V1")</f>
        <v>WH_V1</v>
      </c>
      <c r="J90" s="3" t="str">
        <f>IFERROR(__xludf.DUMMYFUNCTION("""COMPUTED_VALUE"""),"A20")</f>
        <v>A20</v>
      </c>
      <c r="K90" s="3" t="str">
        <f>IFERROR(__xludf.DUMMYFUNCTION("""COMPUTED_VALUE"""),"Warehouse Management System (WMS) &amp; Digital-Physical Integration")</f>
        <v>Warehouse Management System (WMS) &amp; Digital-Physical Integration</v>
      </c>
      <c r="L90" s="3" t="str">
        <f>IFERROR(__xludf.DUMMYFUNCTION("""COMPUTED_VALUE"""),"A20.1")</f>
        <v>A20.1</v>
      </c>
      <c r="M90" s="3" t="str">
        <f>IFERROR(__xludf.DUMMYFUNCTION("""COMPUTED_VALUE"""),"Transaction Coverage Across End-to-End Flow")</f>
        <v>Transaction Coverage Across End-to-End Flow</v>
      </c>
    </row>
    <row r="91" spans="1:13" x14ac:dyDescent="0.25">
      <c r="A91" s="3" t="s">
        <v>35</v>
      </c>
      <c r="B91" s="3" t="s">
        <v>1094</v>
      </c>
      <c r="C91" s="3" t="s">
        <v>1095</v>
      </c>
      <c r="D91" s="3" t="s">
        <v>1114</v>
      </c>
      <c r="E91" s="3" t="s">
        <v>1115</v>
      </c>
      <c r="F91" s="7" t="s">
        <v>1723</v>
      </c>
      <c r="I91" s="3" t="str">
        <f>IFERROR(__xludf.DUMMYFUNCTION("""COMPUTED_VALUE"""),"WH_V1")</f>
        <v>WH_V1</v>
      </c>
      <c r="J91" s="3" t="str">
        <f>IFERROR(__xludf.DUMMYFUNCTION("""COMPUTED_VALUE"""),"A20")</f>
        <v>A20</v>
      </c>
      <c r="K91" s="3" t="str">
        <f>IFERROR(__xludf.DUMMYFUNCTION("""COMPUTED_VALUE"""),"Warehouse Management System (WMS) &amp; Digital-Physical Integration")</f>
        <v>Warehouse Management System (WMS) &amp; Digital-Physical Integration</v>
      </c>
      <c r="L91" s="3" t="str">
        <f>IFERROR(__xludf.DUMMYFUNCTION("""COMPUTED_VALUE"""),"A20.2")</f>
        <v>A20.2</v>
      </c>
      <c r="M91" s="3" t="str">
        <f>IFERROR(__xludf.DUMMYFUNCTION("""COMPUTED_VALUE"""),"Scan/RF Discipline &amp; Data Capture Quality")</f>
        <v>Scan/RF Discipline &amp; Data Capture Quality</v>
      </c>
    </row>
    <row r="92" spans="1:13" x14ac:dyDescent="0.25">
      <c r="A92" s="3" t="s">
        <v>35</v>
      </c>
      <c r="B92" s="3" t="s">
        <v>1124</v>
      </c>
      <c r="C92" s="3" t="s">
        <v>1125</v>
      </c>
      <c r="D92" s="3" t="s">
        <v>1126</v>
      </c>
      <c r="E92" s="3" t="s">
        <v>1127</v>
      </c>
      <c r="F92" s="7" t="s">
        <v>1723</v>
      </c>
      <c r="I92" s="3" t="str">
        <f>IFERROR(__xludf.DUMMYFUNCTION("""COMPUTED_VALUE"""),"WH_V1")</f>
        <v>WH_V1</v>
      </c>
      <c r="J92" s="3" t="str">
        <f>IFERROR(__xludf.DUMMYFUNCTION("""COMPUTED_VALUE"""),"A20")</f>
        <v>A20</v>
      </c>
      <c r="K92" s="3" t="str">
        <f>IFERROR(__xludf.DUMMYFUNCTION("""COMPUTED_VALUE"""),"Warehouse Management System (WMS) &amp; Digital-Physical Integration")</f>
        <v>Warehouse Management System (WMS) &amp; Digital-Physical Integration</v>
      </c>
      <c r="L92" s="3" t="str">
        <f>IFERROR(__xludf.DUMMYFUNCTION("""COMPUTED_VALUE"""),"A20.3")</f>
        <v>A20.3</v>
      </c>
      <c r="M92" s="3" t="str">
        <f>IFERROR(__xludf.DUMMYFUNCTION("""COMPUTED_VALUE"""),"System Latency &amp; Real-Time Data Accuracy")</f>
        <v>System Latency &amp; Real-Time Data Accuracy</v>
      </c>
    </row>
    <row r="93" spans="1:13" x14ac:dyDescent="0.25">
      <c r="A93" s="3" t="s">
        <v>35</v>
      </c>
      <c r="B93" s="3" t="s">
        <v>1124</v>
      </c>
      <c r="C93" s="3" t="s">
        <v>1125</v>
      </c>
      <c r="D93" s="3" t="s">
        <v>1136</v>
      </c>
      <c r="E93" s="3" t="s">
        <v>1137</v>
      </c>
      <c r="F93" s="7" t="s">
        <v>1723</v>
      </c>
      <c r="I93" s="3" t="str">
        <f>IFERROR(__xludf.DUMMYFUNCTION("""COMPUTED_VALUE"""),"WH_V1")</f>
        <v>WH_V1</v>
      </c>
      <c r="J93" s="3" t="str">
        <f>IFERROR(__xludf.DUMMYFUNCTION("""COMPUTED_VALUE"""),"A20")</f>
        <v>A20</v>
      </c>
      <c r="K93" s="3" t="str">
        <f>IFERROR(__xludf.DUMMYFUNCTION("""COMPUTED_VALUE"""),"Warehouse Management System (WMS) &amp; Digital-Physical Integration")</f>
        <v>Warehouse Management System (WMS) &amp; Digital-Physical Integration</v>
      </c>
      <c r="L93" s="3" t="str">
        <f>IFERROR(__xludf.DUMMYFUNCTION("""COMPUTED_VALUE"""),"A20.4")</f>
        <v>A20.4</v>
      </c>
      <c r="M93" s="3" t="str">
        <f>IFERROR(__xludf.DUMMYFUNCTION("""COMPUTED_VALUE"""),"System Integration (ERP/OMS/TMS/Control Tower/Finance)")</f>
        <v>System Integration (ERP/OMS/TMS/Control Tower/Finance)</v>
      </c>
    </row>
    <row r="94" spans="1:13" x14ac:dyDescent="0.25">
      <c r="A94" s="3" t="s">
        <v>35</v>
      </c>
      <c r="B94" s="3" t="s">
        <v>1124</v>
      </c>
      <c r="C94" s="3" t="s">
        <v>1125</v>
      </c>
      <c r="D94" s="3" t="s">
        <v>1146</v>
      </c>
      <c r="E94" s="3" t="s">
        <v>1147</v>
      </c>
      <c r="F94" s="7" t="s">
        <v>1723</v>
      </c>
      <c r="I94" s="3" t="str">
        <f>IFERROR(__xludf.DUMMYFUNCTION("""COMPUTED_VALUE"""),"WH_V1")</f>
        <v>WH_V1</v>
      </c>
      <c r="J94" s="3" t="str">
        <f>IFERROR(__xludf.DUMMYFUNCTION("""COMPUTED_VALUE"""),"A20")</f>
        <v>A20</v>
      </c>
      <c r="K94" s="3" t="str">
        <f>IFERROR(__xludf.DUMMYFUNCTION("""COMPUTED_VALUE"""),"Warehouse Management System (WMS) &amp; Digital-Physical Integration")</f>
        <v>Warehouse Management System (WMS) &amp; Digital-Physical Integration</v>
      </c>
      <c r="L94" s="3" t="str">
        <f>IFERROR(__xludf.DUMMYFUNCTION("""COMPUTED_VALUE"""),"A20.5")</f>
        <v>A20.5</v>
      </c>
      <c r="M94" s="3" t="str">
        <f>IFERROR(__xludf.DUMMYFUNCTION("""COMPUTED_VALUE"""),"Exception Handling, Overrides, Approval Flow &amp; Audit Trail")</f>
        <v>Exception Handling, Overrides, Approval Flow &amp; Audit Trail</v>
      </c>
    </row>
    <row r="95" spans="1:13" x14ac:dyDescent="0.25">
      <c r="A95" s="3" t="s">
        <v>35</v>
      </c>
      <c r="B95" s="3" t="s">
        <v>1124</v>
      </c>
      <c r="C95" s="3" t="s">
        <v>1125</v>
      </c>
      <c r="D95" s="3" t="s">
        <v>1155</v>
      </c>
      <c r="E95" s="3" t="s">
        <v>1156</v>
      </c>
      <c r="F95" s="7" t="s">
        <v>1723</v>
      </c>
      <c r="I95" s="3" t="str">
        <f>IFERROR(__xludf.DUMMYFUNCTION("""COMPUTED_VALUE"""),"WH_V1")</f>
        <v>WH_V1</v>
      </c>
      <c r="J95" s="3" t="str">
        <f>IFERROR(__xludf.DUMMYFUNCTION("""COMPUTED_VALUE"""),"A20")</f>
        <v>A20</v>
      </c>
      <c r="K95" s="3" t="str">
        <f>IFERROR(__xludf.DUMMYFUNCTION("""COMPUTED_VALUE"""),"Warehouse Management System (WMS) &amp; Digital-Physical Integration")</f>
        <v>Warehouse Management System (WMS) &amp; Digital-Physical Integration</v>
      </c>
      <c r="L95" s="3" t="str">
        <f>IFERROR(__xludf.DUMMYFUNCTION("""COMPUTED_VALUE"""),"A20.6")</f>
        <v>A20.6</v>
      </c>
      <c r="M95" s="3" t="str">
        <f>IFERROR(__xludf.DUMMYFUNCTION("""COMPUTED_VALUE"""),"Traceability &amp; Genealogy")</f>
        <v>Traceability &amp; Genealogy</v>
      </c>
    </row>
    <row r="96" spans="1:13" x14ac:dyDescent="0.25">
      <c r="A96" s="3" t="s">
        <v>35</v>
      </c>
      <c r="B96" s="3" t="s">
        <v>1124</v>
      </c>
      <c r="C96" s="3" t="s">
        <v>1125</v>
      </c>
      <c r="D96" s="3" t="s">
        <v>1165</v>
      </c>
      <c r="E96" s="3" t="s">
        <v>1166</v>
      </c>
      <c r="F96" s="7" t="s">
        <v>1723</v>
      </c>
      <c r="I96" s="3" t="str">
        <f>IFERROR(__xludf.DUMMYFUNCTION("""COMPUTED_VALUE"""),"WH_V1")</f>
        <v>WH_V1</v>
      </c>
      <c r="J96" s="3" t="str">
        <f>IFERROR(__xludf.DUMMYFUNCTION("""COMPUTED_VALUE"""),"A20")</f>
        <v>A20</v>
      </c>
      <c r="K96" s="3" t="str">
        <f>IFERROR(__xludf.DUMMYFUNCTION("""COMPUTED_VALUE"""),"Warehouse Management System (WMS) &amp; Digital-Physical Integration")</f>
        <v>Warehouse Management System (WMS) &amp; Digital-Physical Integration</v>
      </c>
      <c r="L96" s="3" t="str">
        <f>IFERROR(__xludf.DUMMYFUNCTION("""COMPUTED_VALUE"""),"A20.7")</f>
        <v>A20.7</v>
      </c>
      <c r="M96" s="3" t="str">
        <f>IFERROR(__xludf.DUMMYFUNCTION("""COMPUTED_VALUE"""),"Cycle Count Automation &amp; Inventory Status Control")</f>
        <v>Cycle Count Automation &amp; Inventory Status Control</v>
      </c>
    </row>
    <row r="97" spans="1:13" x14ac:dyDescent="0.25">
      <c r="A97" s="3" t="s">
        <v>35</v>
      </c>
      <c r="B97" s="3" t="s">
        <v>1124</v>
      </c>
      <c r="C97" s="3" t="s">
        <v>1125</v>
      </c>
      <c r="D97" s="3" t="s">
        <v>1175</v>
      </c>
      <c r="E97" s="3" t="s">
        <v>1176</v>
      </c>
      <c r="F97" s="7" t="s">
        <v>1723</v>
      </c>
      <c r="I97" s="3" t="str">
        <f>IFERROR(__xludf.DUMMYFUNCTION("""COMPUTED_VALUE"""),"WH_V1")</f>
        <v>WH_V1</v>
      </c>
      <c r="J97" s="3" t="str">
        <f>IFERROR(__xludf.DUMMYFUNCTION("""COMPUTED_VALUE"""),"A20")</f>
        <v>A20</v>
      </c>
      <c r="K97" s="3" t="str">
        <f>IFERROR(__xludf.DUMMYFUNCTION("""COMPUTED_VALUE"""),"Warehouse Management System (WMS) &amp; Digital-Physical Integration")</f>
        <v>Warehouse Management System (WMS) &amp; Digital-Physical Integration</v>
      </c>
      <c r="L97" s="3" t="str">
        <f>IFERROR(__xludf.DUMMYFUNCTION("""COMPUTED_VALUE"""),"A20.8")</f>
        <v>A20.8</v>
      </c>
      <c r="M97" s="3" t="str">
        <f>IFERROR(__xludf.DUMMYFUNCTION("""COMPUTED_VALUE"""),"Downtime Contingency &amp; Reporting")</f>
        <v>Downtime Contingency &amp; Reporting</v>
      </c>
    </row>
    <row r="98" spans="1:13" x14ac:dyDescent="0.25">
      <c r="A98" s="3" t="s">
        <v>35</v>
      </c>
      <c r="B98" s="3" t="s">
        <v>1185</v>
      </c>
      <c r="C98" s="3" t="s">
        <v>1186</v>
      </c>
      <c r="D98" s="3" t="s">
        <v>1187</v>
      </c>
      <c r="E98" s="3" t="s">
        <v>1188</v>
      </c>
      <c r="F98" s="7" t="s">
        <v>1723</v>
      </c>
      <c r="I98" s="3" t="str">
        <f>IFERROR(__xludf.DUMMYFUNCTION("""COMPUTED_VALUE"""),"WH_V1")</f>
        <v>WH_V1</v>
      </c>
      <c r="J98" s="3" t="str">
        <f>IFERROR(__xludf.DUMMYFUNCTION("""COMPUTED_VALUE"""),"A21")</f>
        <v>A21</v>
      </c>
      <c r="K98" s="3" t="str">
        <f>IFERROR(__xludf.DUMMYFUNCTION("""COMPUTED_VALUE"""),"Material Handling Equipment (MHE) &amp; Internal Movement")</f>
        <v>Material Handling Equipment (MHE) &amp; Internal Movement</v>
      </c>
      <c r="L98" s="3" t="str">
        <f>IFERROR(__xludf.DUMMYFUNCTION("""COMPUTED_VALUE"""),"A21.1")</f>
        <v>A21.1</v>
      </c>
      <c r="M98" s="3" t="str">
        <f>IFERROR(__xludf.DUMMYFUNCTION("""COMPUTED_VALUE"""),"MHE Fleet Adequacy")</f>
        <v>MHE Fleet Adequacy</v>
      </c>
    </row>
    <row r="99" spans="1:13" x14ac:dyDescent="0.25">
      <c r="A99" s="3" t="s">
        <v>35</v>
      </c>
      <c r="B99" s="3" t="s">
        <v>1185</v>
      </c>
      <c r="C99" s="3" t="s">
        <v>1186</v>
      </c>
      <c r="D99" s="3" t="s">
        <v>1196</v>
      </c>
      <c r="E99" s="3" t="s">
        <v>1197</v>
      </c>
      <c r="F99" s="7" t="s">
        <v>1723</v>
      </c>
      <c r="I99" s="3" t="str">
        <f>IFERROR(__xludf.DUMMYFUNCTION("""COMPUTED_VALUE"""),"WH_V1")</f>
        <v>WH_V1</v>
      </c>
      <c r="J99" s="3" t="str">
        <f>IFERROR(__xludf.DUMMYFUNCTION("""COMPUTED_VALUE"""),"A21")</f>
        <v>A21</v>
      </c>
      <c r="K99" s="3" t="str">
        <f>IFERROR(__xludf.DUMMYFUNCTION("""COMPUTED_VALUE"""),"Material Handling Equipment (MHE) &amp; Internal Movement")</f>
        <v>Material Handling Equipment (MHE) &amp; Internal Movement</v>
      </c>
      <c r="L99" s="3" t="str">
        <f>IFERROR(__xludf.DUMMYFUNCTION("""COMPUTED_VALUE"""),"A21.2")</f>
        <v>A21.2</v>
      </c>
      <c r="M99" s="3" t="str">
        <f>IFERROR(__xludf.DUMMYFUNCTION("""COMPUTED_VALUE"""),"MHE Performance &amp; Reliability")</f>
        <v>MHE Performance &amp; Reliability</v>
      </c>
    </row>
    <row r="100" spans="1:13" x14ac:dyDescent="0.25">
      <c r="A100" s="3" t="s">
        <v>35</v>
      </c>
      <c r="B100" s="3" t="s">
        <v>1185</v>
      </c>
      <c r="C100" s="3" t="s">
        <v>1186</v>
      </c>
      <c r="D100" s="3" t="s">
        <v>1205</v>
      </c>
      <c r="E100" s="3" t="s">
        <v>1206</v>
      </c>
      <c r="F100" s="7" t="s">
        <v>1723</v>
      </c>
      <c r="I100" s="3" t="str">
        <f>IFERROR(__xludf.DUMMYFUNCTION("""COMPUTED_VALUE"""),"WH_V1")</f>
        <v>WH_V1</v>
      </c>
      <c r="J100" s="3" t="str">
        <f>IFERROR(__xludf.DUMMYFUNCTION("""COMPUTED_VALUE"""),"A21")</f>
        <v>A21</v>
      </c>
      <c r="K100" s="3" t="str">
        <f>IFERROR(__xludf.DUMMYFUNCTION("""COMPUTED_VALUE"""),"Material Handling Equipment (MHE) &amp; Internal Movement")</f>
        <v>Material Handling Equipment (MHE) &amp; Internal Movement</v>
      </c>
      <c r="L100" s="3" t="str">
        <f>IFERROR(__xludf.DUMMYFUNCTION("""COMPUTED_VALUE"""),"A21.3")</f>
        <v>A21.3</v>
      </c>
      <c r="M100" s="3" t="str">
        <f>IFERROR(__xludf.DUMMYFUNCTION("""COMPUTED_VALUE"""),"Internal Movement &amp; Travel Efficiency")</f>
        <v>Internal Movement &amp; Travel Efficiency</v>
      </c>
    </row>
    <row r="101" spans="1:13" x14ac:dyDescent="0.25">
      <c r="A101" s="3" t="s">
        <v>35</v>
      </c>
      <c r="B101" s="3" t="s">
        <v>1185</v>
      </c>
      <c r="C101" s="3" t="s">
        <v>1186</v>
      </c>
      <c r="D101" s="3" t="s">
        <v>1214</v>
      </c>
      <c r="E101" s="3" t="s">
        <v>1215</v>
      </c>
      <c r="F101" s="7" t="s">
        <v>1723</v>
      </c>
      <c r="I101" s="3" t="str">
        <f>IFERROR(__xludf.DUMMYFUNCTION("""COMPUTED_VALUE"""),"WH_V1")</f>
        <v>WH_V1</v>
      </c>
      <c r="J101" s="3" t="str">
        <f>IFERROR(__xludf.DUMMYFUNCTION("""COMPUTED_VALUE"""),"A22")</f>
        <v>A22</v>
      </c>
      <c r="K101" s="3" t="str">
        <f>IFERROR(__xludf.DUMMYFUNCTION("""COMPUTED_VALUE"""),"Cold-Chain &amp; Temperature-Controlled Operations")</f>
        <v>Cold-Chain &amp; Temperature-Controlled Operations</v>
      </c>
      <c r="L101" s="3" t="str">
        <f>IFERROR(__xludf.DUMMYFUNCTION("""COMPUTED_VALUE"""),"A22.1")</f>
        <v>A22.1</v>
      </c>
      <c r="M101" s="3" t="str">
        <f>IFERROR(__xludf.DUMMYFUNCTION("""COMPUTED_VALUE"""),"0-4C Chiller Storage &amp; Handling")</f>
        <v>0-4C Chiller Storage &amp; Handling</v>
      </c>
    </row>
    <row r="102" spans="1:13" x14ac:dyDescent="0.25">
      <c r="A102" s="3" t="s">
        <v>35</v>
      </c>
      <c r="B102" s="3" t="s">
        <v>1185</v>
      </c>
      <c r="C102" s="3" t="s">
        <v>1186</v>
      </c>
      <c r="D102" s="3" t="s">
        <v>1223</v>
      </c>
      <c r="E102" s="3" t="s">
        <v>1224</v>
      </c>
      <c r="F102" s="7" t="s">
        <v>1723</v>
      </c>
      <c r="I102" s="3" t="str">
        <f>IFERROR(__xludf.DUMMYFUNCTION("""COMPUTED_VALUE"""),"WH_V1")</f>
        <v>WH_V1</v>
      </c>
      <c r="J102" s="3" t="str">
        <f>IFERROR(__xludf.DUMMYFUNCTION("""COMPUTED_VALUE"""),"A22")</f>
        <v>A22</v>
      </c>
      <c r="K102" s="3" t="str">
        <f>IFERROR(__xludf.DUMMYFUNCTION("""COMPUTED_VALUE"""),"Cold-Chain &amp; Temperature-Controlled Operations")</f>
        <v>Cold-Chain &amp; Temperature-Controlled Operations</v>
      </c>
      <c r="L102" s="3" t="str">
        <f>IFERROR(__xludf.DUMMYFUNCTION("""COMPUTED_VALUE"""),"A22.2")</f>
        <v>A22.2</v>
      </c>
      <c r="M102" s="3" t="str">
        <f>IFERROR(__xludf.DUMMYFUNCTION("""COMPUTED_VALUE"""),"15-20C Leafy Processing")</f>
        <v>15-20C Leafy Processing</v>
      </c>
    </row>
    <row r="103" spans="1:13" x14ac:dyDescent="0.25">
      <c r="A103" s="3" t="s">
        <v>35</v>
      </c>
      <c r="B103" s="3" t="s">
        <v>1185</v>
      </c>
      <c r="C103" s="3" t="s">
        <v>1186</v>
      </c>
      <c r="D103" s="3" t="s">
        <v>1232</v>
      </c>
      <c r="E103" s="3" t="s">
        <v>1233</v>
      </c>
      <c r="F103" s="7" t="s">
        <v>1723</v>
      </c>
      <c r="I103" s="3" t="str">
        <f>IFERROR(__xludf.DUMMYFUNCTION("""COMPUTED_VALUE"""),"WH_V1")</f>
        <v>WH_V1</v>
      </c>
      <c r="J103" s="3" t="str">
        <f>IFERROR(__xludf.DUMMYFUNCTION("""COMPUTED_VALUE"""),"A22")</f>
        <v>A22</v>
      </c>
      <c r="K103" s="3" t="str">
        <f>IFERROR(__xludf.DUMMYFUNCTION("""COMPUTED_VALUE"""),"Cold-Chain &amp; Temperature-Controlled Operations")</f>
        <v>Cold-Chain &amp; Temperature-Controlled Operations</v>
      </c>
      <c r="L103" s="3" t="str">
        <f>IFERROR(__xludf.DUMMYFUNCTION("""COMPUTED_VALUE"""),"A22.3")</f>
        <v>A22.3</v>
      </c>
      <c r="M103" s="3" t="str">
        <f>IFERROR(__xludf.DUMMYFUNCTION("""COMPUTED_VALUE"""),"15-20C Hydroponics Processing")</f>
        <v>15-20C Hydroponics Processing</v>
      </c>
    </row>
    <row r="104" spans="1:13" x14ac:dyDescent="0.25">
      <c r="A104" s="3" t="s">
        <v>35</v>
      </c>
      <c r="B104" s="3" t="s">
        <v>88</v>
      </c>
      <c r="C104" s="3" t="s">
        <v>89</v>
      </c>
      <c r="D104" s="3" t="s">
        <v>90</v>
      </c>
      <c r="E104" s="3" t="s">
        <v>91</v>
      </c>
      <c r="F104" s="7" t="s">
        <v>1723</v>
      </c>
      <c r="I104" s="3" t="str">
        <f>IFERROR(__xludf.DUMMYFUNCTION("""COMPUTED_VALUE"""),"WH_V1")</f>
        <v>WH_V1</v>
      </c>
      <c r="J104" s="3" t="str">
        <f>IFERROR(__xludf.DUMMYFUNCTION("""COMPUTED_VALUE"""),"A22")</f>
        <v>A22</v>
      </c>
      <c r="K104" s="3" t="str">
        <f>IFERROR(__xludf.DUMMYFUNCTION("""COMPUTED_VALUE"""),"Cold-Chain &amp; Temperature-Controlled Operations")</f>
        <v>Cold-Chain &amp; Temperature-Controlled Operations</v>
      </c>
      <c r="L104" s="3" t="str">
        <f>IFERROR(__xludf.DUMMYFUNCTION("""COMPUTED_VALUE"""),"A22.4")</f>
        <v>A22.4</v>
      </c>
      <c r="M104" s="3" t="str">
        <f>IFERROR(__xludf.DUMMYFUNCTION("""COMPUTED_VALUE"""),"Cold Process Flow Continuity")</f>
        <v>Cold Process Flow Continuity</v>
      </c>
    </row>
    <row r="105" spans="1:13" x14ac:dyDescent="0.25">
      <c r="A105" s="3" t="s">
        <v>35</v>
      </c>
      <c r="B105" s="3" t="s">
        <v>88</v>
      </c>
      <c r="C105" s="3" t="s">
        <v>89</v>
      </c>
      <c r="D105" s="3" t="s">
        <v>101</v>
      </c>
      <c r="E105" s="3" t="s">
        <v>102</v>
      </c>
      <c r="F105" s="7" t="s">
        <v>1723</v>
      </c>
      <c r="I105" s="3" t="str">
        <f>IFERROR(__xludf.DUMMYFUNCTION("""COMPUTED_VALUE"""),"WH_V1")</f>
        <v>WH_V1</v>
      </c>
      <c r="J105" s="3" t="str">
        <f>IFERROR(__xludf.DUMMYFUNCTION("""COMPUTED_VALUE"""),"A22")</f>
        <v>A22</v>
      </c>
      <c r="K105" s="3" t="str">
        <f>IFERROR(__xludf.DUMMYFUNCTION("""COMPUTED_VALUE"""),"Cold-Chain &amp; Temperature-Controlled Operations")</f>
        <v>Cold-Chain &amp; Temperature-Controlled Operations</v>
      </c>
      <c r="L105" s="3" t="str">
        <f>IFERROR(__xludf.DUMMYFUNCTION("""COMPUTED_VALUE"""),"A22.5")</f>
        <v>A22.5</v>
      </c>
      <c r="M105" s="3" t="str">
        <f>IFERROR(__xludf.DUMMYFUNCTION("""COMPUTED_VALUE"""),"Cold-Chain Infrastructure Reliability")</f>
        <v>Cold-Chain Infrastructure Reliability</v>
      </c>
    </row>
    <row r="106" spans="1:13" x14ac:dyDescent="0.25">
      <c r="A106" s="3" t="s">
        <v>35</v>
      </c>
      <c r="B106" s="3" t="s">
        <v>110</v>
      </c>
      <c r="C106" s="3" t="s">
        <v>111</v>
      </c>
      <c r="D106" s="3" t="s">
        <v>112</v>
      </c>
      <c r="E106" s="3" t="s">
        <v>113</v>
      </c>
      <c r="F106" s="7" t="s">
        <v>1723</v>
      </c>
      <c r="I106" s="3" t="str">
        <f>IFERROR(__xludf.DUMMYFUNCTION("""COMPUTED_VALUE"""),"WH_V1")</f>
        <v>WH_V1</v>
      </c>
      <c r="J106" s="3" t="str">
        <f>IFERROR(__xludf.DUMMYFUNCTION("""COMPUTED_VALUE"""),"A23")</f>
        <v>A23</v>
      </c>
      <c r="K106" s="3" t="str">
        <f>IFERROR(__xludf.DUMMYFUNCTION("""COMPUTED_VALUE"""),"Food &amp; Beverage (F&amp;B) / Non-Goods and Services Tax (Non-GST) Operating Segregation")</f>
        <v>Food &amp; Beverage (F&amp;B) / Non-Goods and Services Tax (Non-GST) Operating Segregation</v>
      </c>
      <c r="L106" s="3" t="str">
        <f>IFERROR(__xludf.DUMMYFUNCTION("""COMPUTED_VALUE"""),"A23.1")</f>
        <v>A23.1</v>
      </c>
      <c r="M106" s="3" t="str">
        <f>IFERROR(__xludf.DUMMYFUNCTION("""COMPUTED_VALUE"""),"Physical &amp; Process Segregation")</f>
        <v>Physical &amp; Process Segregation</v>
      </c>
    </row>
    <row r="107" spans="1:13" x14ac:dyDescent="0.25">
      <c r="A107" s="3" t="s">
        <v>35</v>
      </c>
      <c r="B107" s="3" t="s">
        <v>110</v>
      </c>
      <c r="C107" s="3" t="s">
        <v>111</v>
      </c>
      <c r="D107" s="3" t="s">
        <v>123</v>
      </c>
      <c r="E107" s="3" t="s">
        <v>124</v>
      </c>
      <c r="F107" s="7" t="s">
        <v>1723</v>
      </c>
      <c r="I107" s="3" t="str">
        <f>IFERROR(__xludf.DUMMYFUNCTION("""COMPUTED_VALUE"""),"WH_V1")</f>
        <v>WH_V1</v>
      </c>
      <c r="J107" s="3" t="str">
        <f>IFERROR(__xludf.DUMMYFUNCTION("""COMPUTED_VALUE"""),"A23")</f>
        <v>A23</v>
      </c>
      <c r="K107" s="3" t="str">
        <f>IFERROR(__xludf.DUMMYFUNCTION("""COMPUTED_VALUE"""),"Food &amp; Beverage (F&amp;B) / Non-Goods and Services Tax (Non-GST) Operating Segregation")</f>
        <v>Food &amp; Beverage (F&amp;B) / Non-Goods and Services Tax (Non-GST) Operating Segregation</v>
      </c>
      <c r="L107" s="3" t="str">
        <f>IFERROR(__xludf.DUMMYFUNCTION("""COMPUTED_VALUE"""),"A23.2")</f>
        <v>A23.2</v>
      </c>
      <c r="M107" s="3" t="str">
        <f>IFERROR(__xludf.DUMMYFUNCTION("""COMPUTED_VALUE"""),"Inventory Ownership, Documentation &amp; WMS Segregation")</f>
        <v>Inventory Ownership, Documentation &amp; WMS Segregation</v>
      </c>
    </row>
    <row r="108" spans="1:13" x14ac:dyDescent="0.25">
      <c r="A108" s="3" t="s">
        <v>35</v>
      </c>
      <c r="B108" s="3" t="s">
        <v>110</v>
      </c>
      <c r="C108" s="3" t="s">
        <v>111</v>
      </c>
      <c r="D108" s="3" t="s">
        <v>132</v>
      </c>
      <c r="E108" s="3" t="s">
        <v>133</v>
      </c>
      <c r="F108" s="7" t="s">
        <v>1723</v>
      </c>
      <c r="I108" s="3" t="str">
        <f>IFERROR(__xludf.DUMMYFUNCTION("""COMPUTED_VALUE"""),"WH_V1")</f>
        <v>WH_V1</v>
      </c>
      <c r="J108" s="3" t="str">
        <f>IFERROR(__xludf.DUMMYFUNCTION("""COMPUTED_VALUE"""),"A23")</f>
        <v>A23</v>
      </c>
      <c r="K108" s="3" t="str">
        <f>IFERROR(__xludf.DUMMYFUNCTION("""COMPUTED_VALUE"""),"Food &amp; Beverage (F&amp;B) / Non-Goods and Services Tax (Non-GST) Operating Segregation")</f>
        <v>Food &amp; Beverage (F&amp;B) / Non-Goods and Services Tax (Non-GST) Operating Segregation</v>
      </c>
      <c r="L108" s="3" t="str">
        <f>IFERROR(__xludf.DUMMYFUNCTION("""COMPUTED_VALUE"""),"A23.3")</f>
        <v>A23.3</v>
      </c>
      <c r="M108" s="3" t="str">
        <f>IFERROR(__xludf.DUMMYFUNCTION("""COMPUTED_VALUE"""),"Compliance Risk &amp; Tax-Interpretation Flag")</f>
        <v>Compliance Risk &amp; Tax-Interpretation Flag</v>
      </c>
    </row>
    <row r="109" spans="1:13" x14ac:dyDescent="0.25">
      <c r="A109" s="3" t="s">
        <v>35</v>
      </c>
      <c r="B109" s="3" t="s">
        <v>141</v>
      </c>
      <c r="C109" s="3" t="s">
        <v>142</v>
      </c>
      <c r="D109" s="3" t="s">
        <v>143</v>
      </c>
      <c r="E109" s="3" t="s">
        <v>144</v>
      </c>
      <c r="F109" s="7" t="s">
        <v>1723</v>
      </c>
      <c r="I109" s="3" t="str">
        <f>IFERROR(__xludf.DUMMYFUNCTION("""COMPUTED_VALUE"""),"WH_V1")</f>
        <v>WH_V1</v>
      </c>
      <c r="J109" s="3" t="str">
        <f>IFERROR(__xludf.DUMMYFUNCTION("""COMPUTED_VALUE"""),"A24")</f>
        <v>A24</v>
      </c>
      <c r="K109" s="3" t="str">
        <f>IFERROR(__xludf.DUMMYFUNCTION("""COMPUTED_VALUE"""),"Facility &amp; Warehouse Design Diagnostics (Expansion)")</f>
        <v>Facility &amp; Warehouse Design Diagnostics (Expansion)</v>
      </c>
      <c r="L109" s="3" t="str">
        <f>IFERROR(__xludf.DUMMYFUNCTION("""COMPUTED_VALUE"""),"A24.1")</f>
        <v>A24.1</v>
      </c>
      <c r="M109" s="3" t="str">
        <f>IFERROR(__xludf.DUMMYFUNCTION("""COMPUTED_VALUE"""),"Process Flow Diagnostics")</f>
        <v>Process Flow Diagnostics</v>
      </c>
    </row>
    <row r="110" spans="1:13" x14ac:dyDescent="0.25">
      <c r="A110" s="3" t="s">
        <v>35</v>
      </c>
      <c r="B110" s="3" t="s">
        <v>141</v>
      </c>
      <c r="C110" s="3" t="s">
        <v>142</v>
      </c>
      <c r="D110" s="3" t="s">
        <v>154</v>
      </c>
      <c r="E110" s="3" t="s">
        <v>155</v>
      </c>
      <c r="F110" s="7" t="s">
        <v>1723</v>
      </c>
      <c r="I110" s="3" t="str">
        <f>IFERROR(__xludf.DUMMYFUNCTION("""COMPUTED_VALUE"""),"WH_V1")</f>
        <v>WH_V1</v>
      </c>
      <c r="J110" s="3" t="str">
        <f>IFERROR(__xludf.DUMMYFUNCTION("""COMPUTED_VALUE"""),"A24")</f>
        <v>A24</v>
      </c>
      <c r="K110" s="3" t="str">
        <f>IFERROR(__xludf.DUMMYFUNCTION("""COMPUTED_VALUE"""),"Facility &amp; Warehouse Design Diagnostics (Expansion)")</f>
        <v>Facility &amp; Warehouse Design Diagnostics (Expansion)</v>
      </c>
      <c r="L110" s="3" t="str">
        <f>IFERROR(__xludf.DUMMYFUNCTION("""COMPUTED_VALUE"""),"A24.2")</f>
        <v>A24.2</v>
      </c>
      <c r="M110" s="3" t="str">
        <f>IFERROR(__xludf.DUMMYFUNCTION("""COMPUTED_VALUE"""),"Area Adequacy Across Functional Zones")</f>
        <v>Area Adequacy Across Functional Zones</v>
      </c>
    </row>
    <row r="111" spans="1:13" x14ac:dyDescent="0.25">
      <c r="A111" s="3" t="s">
        <v>35</v>
      </c>
      <c r="B111" s="3" t="s">
        <v>163</v>
      </c>
      <c r="C111" s="3" t="s">
        <v>164</v>
      </c>
      <c r="D111" s="3" t="s">
        <v>165</v>
      </c>
      <c r="E111" s="3" t="s">
        <v>166</v>
      </c>
      <c r="F111" s="7" t="s">
        <v>1723</v>
      </c>
      <c r="I111" s="3" t="str">
        <f>IFERROR(__xludf.DUMMYFUNCTION("""COMPUTED_VALUE"""),"WH_V1")</f>
        <v>WH_V1</v>
      </c>
      <c r="J111" s="3" t="str">
        <f>IFERROR(__xludf.DUMMYFUNCTION("""COMPUTED_VALUE"""),"A24")</f>
        <v>A24</v>
      </c>
      <c r="K111" s="3" t="str">
        <f>IFERROR(__xludf.DUMMYFUNCTION("""COMPUTED_VALUE"""),"Facility &amp; Warehouse Design Diagnostics (Expansion)")</f>
        <v>Facility &amp; Warehouse Design Diagnostics (Expansion)</v>
      </c>
      <c r="L111" s="3" t="str">
        <f>IFERROR(__xludf.DUMMYFUNCTION("""COMPUTED_VALUE"""),"A24.3")</f>
        <v>A24.3</v>
      </c>
      <c r="M111" s="3" t="str">
        <f>IFERROR(__xludf.DUMMYFUNCTION("""COMPUTED_VALUE"""),"Storage Diagnostics (Slotting &amp; Density)")</f>
        <v>Storage Diagnostics (Slotting &amp; Density)</v>
      </c>
    </row>
    <row r="112" spans="1:13" x14ac:dyDescent="0.25">
      <c r="A112" s="3" t="s">
        <v>35</v>
      </c>
      <c r="B112" s="3" t="s">
        <v>163</v>
      </c>
      <c r="C112" s="3" t="s">
        <v>164</v>
      </c>
      <c r="D112" s="3" t="s">
        <v>174</v>
      </c>
      <c r="E112" s="3" t="s">
        <v>175</v>
      </c>
      <c r="F112" s="7" t="s">
        <v>1723</v>
      </c>
      <c r="I112" s="3" t="str">
        <f>IFERROR(__xludf.DUMMYFUNCTION("""COMPUTED_VALUE"""),"WH_V1")</f>
        <v>WH_V1</v>
      </c>
      <c r="J112" s="3" t="str">
        <f>IFERROR(__xludf.DUMMYFUNCTION("""COMPUTED_VALUE"""),"A24")</f>
        <v>A24</v>
      </c>
      <c r="K112" s="3" t="str">
        <f>IFERROR(__xludf.DUMMYFUNCTION("""COMPUTED_VALUE"""),"Facility &amp; Warehouse Design Diagnostics (Expansion)")</f>
        <v>Facility &amp; Warehouse Design Diagnostics (Expansion)</v>
      </c>
      <c r="L112" s="3" t="str">
        <f>IFERROR(__xludf.DUMMYFUNCTION("""COMPUTED_VALUE"""),"A24.4")</f>
        <v>A24.4</v>
      </c>
      <c r="M112" s="3" t="str">
        <f>IFERROR(__xludf.DUMMYFUNCTION("""COMPUTED_VALUE"""),"Dock Diagnostics (Adequacy &amp; Segregation)")</f>
        <v>Dock Diagnostics (Adequacy &amp; Segregation)</v>
      </c>
    </row>
    <row r="113" spans="1:13" x14ac:dyDescent="0.25">
      <c r="A113" s="3" t="s">
        <v>35</v>
      </c>
      <c r="B113" s="3" t="s">
        <v>163</v>
      </c>
      <c r="C113" s="3" t="s">
        <v>164</v>
      </c>
      <c r="D113" s="3" t="s">
        <v>183</v>
      </c>
      <c r="E113" s="3" t="s">
        <v>184</v>
      </c>
      <c r="F113" s="7" t="s">
        <v>1723</v>
      </c>
      <c r="I113" s="3" t="str">
        <f>IFERROR(__xludf.DUMMYFUNCTION("""COMPUTED_VALUE"""),"WH_V1")</f>
        <v>WH_V1</v>
      </c>
      <c r="J113" s="3" t="str">
        <f>IFERROR(__xludf.DUMMYFUNCTION("""COMPUTED_VALUE"""),"A24")</f>
        <v>A24</v>
      </c>
      <c r="K113" s="3" t="str">
        <f>IFERROR(__xludf.DUMMYFUNCTION("""COMPUTED_VALUE"""),"Facility &amp; Warehouse Design Diagnostics (Expansion)")</f>
        <v>Facility &amp; Warehouse Design Diagnostics (Expansion)</v>
      </c>
      <c r="L113" s="3" t="str">
        <f>IFERROR(__xludf.DUMMYFUNCTION("""COMPUTED_VALUE"""),"A24.5")</f>
        <v>A24.5</v>
      </c>
      <c r="M113" s="3" t="str">
        <f>IFERROR(__xludf.DUMMYFUNCTION("""COMPUTED_VALUE"""),"Cold-Chain Infrastructure Diagnostics (Civil/Design)")</f>
        <v>Cold-Chain Infrastructure Diagnostics (Civil/Design)</v>
      </c>
    </row>
    <row r="114" spans="1:13" x14ac:dyDescent="0.25">
      <c r="A114" s="3" t="s">
        <v>35</v>
      </c>
      <c r="B114" s="3" t="s">
        <v>163</v>
      </c>
      <c r="C114" s="3" t="s">
        <v>164</v>
      </c>
      <c r="D114" s="3" t="s">
        <v>192</v>
      </c>
      <c r="E114" s="3" t="s">
        <v>193</v>
      </c>
      <c r="F114" s="7" t="s">
        <v>1723</v>
      </c>
      <c r="I114" s="3" t="str">
        <f>IFERROR(__xludf.DUMMYFUNCTION("""COMPUTED_VALUE"""),"WH_V1")</f>
        <v>WH_V1</v>
      </c>
      <c r="J114" s="3" t="str">
        <f>IFERROR(__xludf.DUMMYFUNCTION("""COMPUTED_VALUE"""),"A24")</f>
        <v>A24</v>
      </c>
      <c r="K114" s="3" t="str">
        <f>IFERROR(__xludf.DUMMYFUNCTION("""COMPUTED_VALUE"""),"Facility &amp; Warehouse Design Diagnostics (Expansion)")</f>
        <v>Facility &amp; Warehouse Design Diagnostics (Expansion)</v>
      </c>
      <c r="L114" s="3" t="str">
        <f>IFERROR(__xludf.DUMMYFUNCTION("""COMPUTED_VALUE"""),"A24.6")</f>
        <v>A24.6</v>
      </c>
      <c r="M114" s="3" t="str">
        <f>IFERROR(__xludf.DUMMYFUNCTION("""COMPUTED_VALUE"""),"Food-Safety Facility Diagnostics")</f>
        <v>Food-Safety Facility Diagnostics</v>
      </c>
    </row>
    <row r="115" spans="1:13" x14ac:dyDescent="0.25">
      <c r="A115" s="3" t="s">
        <v>35</v>
      </c>
      <c r="B115" s="3" t="s">
        <v>163</v>
      </c>
      <c r="C115" s="3" t="s">
        <v>164</v>
      </c>
      <c r="D115" s="3" t="s">
        <v>203</v>
      </c>
      <c r="E115" s="3" t="s">
        <v>204</v>
      </c>
      <c r="F115" s="7" t="s">
        <v>1723</v>
      </c>
      <c r="I115" s="3" t="str">
        <f>IFERROR(__xludf.DUMMYFUNCTION("""COMPUTED_VALUE"""),"WH_V1")</f>
        <v>WH_V1</v>
      </c>
      <c r="J115" s="3" t="str">
        <f>IFERROR(__xludf.DUMMYFUNCTION("""COMPUTED_VALUE"""),"A25")</f>
        <v>A25</v>
      </c>
      <c r="K115" s="3" t="str">
        <f>IFERROR(__xludf.DUMMYFUNCTION("""COMPUTED_VALUE"""),"Training, Induction &amp; Continuous Improvement")</f>
        <v>Training, Induction &amp; Continuous Improvement</v>
      </c>
      <c r="L115" s="3" t="str">
        <f>IFERROR(__xludf.DUMMYFUNCTION("""COMPUTED_VALUE"""),"A25.1")</f>
        <v>A25.1</v>
      </c>
      <c r="M115" s="3" t="str">
        <f>IFERROR(__xludf.DUMMYFUNCTION("""COMPUTED_VALUE"""),"New Employee Induction &amp; Onboarding")</f>
        <v>New Employee Induction &amp; Onboarding</v>
      </c>
    </row>
    <row r="116" spans="1:13" x14ac:dyDescent="0.25">
      <c r="A116" s="3" t="s">
        <v>35</v>
      </c>
      <c r="B116" s="3" t="s">
        <v>212</v>
      </c>
      <c r="C116" s="3" t="s">
        <v>213</v>
      </c>
      <c r="D116" s="3" t="s">
        <v>214</v>
      </c>
      <c r="E116" s="3" t="s">
        <v>215</v>
      </c>
      <c r="F116" s="7" t="s">
        <v>1723</v>
      </c>
      <c r="I116" s="3" t="str">
        <f>IFERROR(__xludf.DUMMYFUNCTION("""COMPUTED_VALUE"""),"WH_V1")</f>
        <v>WH_V1</v>
      </c>
      <c r="J116" s="3" t="str">
        <f>IFERROR(__xludf.DUMMYFUNCTION("""COMPUTED_VALUE"""),"A25")</f>
        <v>A25</v>
      </c>
      <c r="K116" s="3" t="str">
        <f>IFERROR(__xludf.DUMMYFUNCTION("""COMPUTED_VALUE"""),"Training, Induction &amp; Continuous Improvement")</f>
        <v>Training, Induction &amp; Continuous Improvement</v>
      </c>
      <c r="L116" s="3" t="str">
        <f>IFERROR(__xludf.DUMMYFUNCTION("""COMPUTED_VALUE"""),"A25.2")</f>
        <v>A25.2</v>
      </c>
      <c r="M116" s="3" t="str">
        <f>IFERROR(__xludf.DUMMYFUNCTION("""COMPUTED_VALUE"""),"Role-Specific Skill Training &amp; Certification")</f>
        <v>Role-Specific Skill Training &amp; Certification</v>
      </c>
    </row>
    <row r="117" spans="1:13" x14ac:dyDescent="0.25">
      <c r="A117" s="3" t="s">
        <v>35</v>
      </c>
      <c r="B117" s="3" t="s">
        <v>225</v>
      </c>
      <c r="C117" s="3" t="s">
        <v>226</v>
      </c>
      <c r="D117" s="3" t="s">
        <v>227</v>
      </c>
      <c r="E117" s="3" t="s">
        <v>228</v>
      </c>
      <c r="F117" s="7" t="s">
        <v>1723</v>
      </c>
      <c r="I117" s="3" t="str">
        <f>IFERROR(__xludf.DUMMYFUNCTION("""COMPUTED_VALUE"""),"WH_V1")</f>
        <v>WH_V1</v>
      </c>
      <c r="J117" s="3" t="str">
        <f>IFERROR(__xludf.DUMMYFUNCTION("""COMPUTED_VALUE"""),"A25")</f>
        <v>A25</v>
      </c>
      <c r="K117" s="3" t="str">
        <f>IFERROR(__xludf.DUMMYFUNCTION("""COMPUTED_VALUE"""),"Training, Induction &amp; Continuous Improvement")</f>
        <v>Training, Induction &amp; Continuous Improvement</v>
      </c>
      <c r="L117" s="3" t="str">
        <f>IFERROR(__xludf.DUMMYFUNCTION("""COMPUTED_VALUE"""),"A25.3")</f>
        <v>A25.3</v>
      </c>
      <c r="M117" s="3" t="str">
        <f>IFERROR(__xludf.DUMMYFUNCTION("""COMPUTED_VALUE"""),"Training Effectiveness Measurement")</f>
        <v>Training Effectiveness Measurement</v>
      </c>
    </row>
    <row r="118" spans="1:13" x14ac:dyDescent="0.25">
      <c r="A118" s="3" t="s">
        <v>35</v>
      </c>
      <c r="B118" s="3" t="s">
        <v>225</v>
      </c>
      <c r="C118" s="3" t="s">
        <v>226</v>
      </c>
      <c r="D118" s="3" t="s">
        <v>238</v>
      </c>
      <c r="E118" s="3" t="s">
        <v>239</v>
      </c>
      <c r="F118" s="7" t="s">
        <v>1723</v>
      </c>
      <c r="I118" s="3" t="str">
        <f>IFERROR(__xludf.DUMMYFUNCTION("""COMPUTED_VALUE"""),"WH_V1")</f>
        <v>WH_V1</v>
      </c>
      <c r="J118" s="3" t="str">
        <f>IFERROR(__xludf.DUMMYFUNCTION("""COMPUTED_VALUE"""),"A25")</f>
        <v>A25</v>
      </c>
      <c r="K118" s="3" t="str">
        <f>IFERROR(__xludf.DUMMYFUNCTION("""COMPUTED_VALUE"""),"Training, Induction &amp; Continuous Improvement")</f>
        <v>Training, Induction &amp; Continuous Improvement</v>
      </c>
      <c r="L118" s="3" t="str">
        <f>IFERROR(__xludf.DUMMYFUNCTION("""COMPUTED_VALUE"""),"A25.4")</f>
        <v>A25.4</v>
      </c>
      <c r="M118" s="3" t="str">
        <f>IFERROR(__xludf.DUMMYFUNCTION("""COMPUTED_VALUE"""),"Cross-Training &amp; Multi-Skilling Coverage")</f>
        <v>Cross-Training &amp; Multi-Skilling Coverage</v>
      </c>
    </row>
    <row r="119" spans="1:13" x14ac:dyDescent="0.25">
      <c r="A119" s="3" t="s">
        <v>35</v>
      </c>
      <c r="B119" s="3" t="s">
        <v>225</v>
      </c>
      <c r="C119" s="3" t="s">
        <v>226</v>
      </c>
      <c r="D119" s="3" t="s">
        <v>247</v>
      </c>
      <c r="E119" s="3" t="s">
        <v>248</v>
      </c>
      <c r="F119" s="7" t="s">
        <v>1723</v>
      </c>
      <c r="I119" s="3" t="str">
        <f>IFERROR(__xludf.DUMMYFUNCTION("""COMPUTED_VALUE"""),"WH_V1")</f>
        <v>WH_V1</v>
      </c>
      <c r="J119" s="3" t="str">
        <f>IFERROR(__xludf.DUMMYFUNCTION("""COMPUTED_VALUE"""),"A25")</f>
        <v>A25</v>
      </c>
      <c r="K119" s="3" t="str">
        <f>IFERROR(__xludf.DUMMYFUNCTION("""COMPUTED_VALUE"""),"Training, Induction &amp; Continuous Improvement")</f>
        <v>Training, Induction &amp; Continuous Improvement</v>
      </c>
      <c r="L119" s="3" t="str">
        <f>IFERROR(__xludf.DUMMYFUNCTION("""COMPUTED_VALUE"""),"A25.5")</f>
        <v>A25.5</v>
      </c>
      <c r="M119" s="3" t="str">
        <f>IFERROR(__xludf.DUMMYFUNCTION("""COMPUTED_VALUE"""),"Continuous Improvement Culture &amp; Frontline Idea Generation")</f>
        <v>Continuous Improvement Culture &amp; Frontline Idea Generation</v>
      </c>
    </row>
    <row r="120" spans="1:13" x14ac:dyDescent="0.25">
      <c r="A120" s="3" t="s">
        <v>35</v>
      </c>
      <c r="B120" s="3" t="s">
        <v>256</v>
      </c>
      <c r="C120" s="3" t="s">
        <v>257</v>
      </c>
      <c r="D120" s="3" t="s">
        <v>258</v>
      </c>
      <c r="E120" s="3" t="s">
        <v>259</v>
      </c>
      <c r="F120" s="7" t="s">
        <v>1723</v>
      </c>
      <c r="I120" s="3" t="str">
        <f>IFERROR(__xludf.DUMMYFUNCTION("""COMPUTED_VALUE"""),"WH_V1")</f>
        <v>WH_V1</v>
      </c>
      <c r="J120" s="3" t="str">
        <f>IFERROR(__xludf.DUMMYFUNCTION("""COMPUTED_VALUE"""),"A25")</f>
        <v>A25</v>
      </c>
      <c r="K120" s="3" t="str">
        <f>IFERROR(__xludf.DUMMYFUNCTION("""COMPUTED_VALUE"""),"Training, Induction &amp; Continuous Improvement")</f>
        <v>Training, Induction &amp; Continuous Improvement</v>
      </c>
      <c r="L120" s="3" t="str">
        <f>IFERROR(__xludf.DUMMYFUNCTION("""COMPUTED_VALUE"""),"A25.6")</f>
        <v>A25.6</v>
      </c>
      <c r="M120" s="3" t="str">
        <f>IFERROR(__xludf.DUMMYFUNCTION("""COMPUTED_VALUE"""),"Refresher / Recertification Cadence")</f>
        <v>Refresher / Recertification Cadence</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heetViews>
  <sheetFormatPr defaultRowHeight="15" outlineLevelRow="0" outlineLevelCol="0" x14ac:dyDescent="0" defaultColWidth="14.43"/>
  <cols>
    <col min="1" max="1" width="8.71" customWidth="1"/>
    <col min="2" max="2" width="13.43" customWidth="1"/>
    <col min="3" max="3" width="22.86" customWidth="1"/>
    <col min="4" max="4" width="16.57" customWidth="1"/>
    <col min="5" max="6" width="16.86" customWidth="1"/>
    <col min="7" max="7" width="15.57" customWidth="1"/>
    <col min="8" max="27" width="8.71" customWidth="1"/>
  </cols>
  <sheetData>
    <row r="1" ht="14.25" customHeight="1" spans="1:27" x14ac:dyDescent="0.25">
      <c r="A1" s="8"/>
      <c r="B1" s="9"/>
      <c r="C1" s="9"/>
      <c r="D1" s="9"/>
      <c r="E1" s="9"/>
      <c r="F1" s="9"/>
      <c r="G1" s="8"/>
      <c r="H1" s="8"/>
      <c r="I1" s="8"/>
      <c r="J1" s="8"/>
      <c r="K1" s="8"/>
      <c r="L1" s="8"/>
      <c r="M1" s="8"/>
      <c r="N1" s="8"/>
      <c r="O1" s="8"/>
      <c r="P1" s="8"/>
      <c r="Q1" s="8"/>
      <c r="R1" s="8"/>
      <c r="S1" s="8"/>
      <c r="T1" s="8"/>
      <c r="U1" s="8"/>
      <c r="V1" s="8"/>
      <c r="W1" s="8"/>
      <c r="X1" s="8"/>
      <c r="Y1" s="8"/>
      <c r="Z1" s="8"/>
      <c r="AA1" s="8"/>
    </row>
    <row r="2" ht="26.25" customHeight="1" spans="1:27" x14ac:dyDescent="0.25">
      <c r="A2" s="8"/>
      <c r="B2" s="10" t="s">
        <v>1724</v>
      </c>
      <c r="C2" s="10" t="s">
        <v>1725</v>
      </c>
      <c r="D2" s="11" t="s">
        <v>654</v>
      </c>
      <c r="E2" s="11" t="s">
        <v>804</v>
      </c>
      <c r="F2" s="11" t="s">
        <v>838</v>
      </c>
      <c r="G2" s="12" t="s">
        <v>1726</v>
      </c>
      <c r="H2" s="8"/>
      <c r="I2" s="8"/>
      <c r="J2" s="8"/>
      <c r="K2" s="8"/>
      <c r="L2" s="8"/>
      <c r="M2" s="8"/>
      <c r="N2" s="8"/>
      <c r="O2" s="8"/>
      <c r="P2" s="8"/>
      <c r="Q2" s="8"/>
      <c r="R2" s="8"/>
      <c r="S2" s="8"/>
      <c r="T2" s="8"/>
      <c r="U2" s="8"/>
      <c r="V2" s="8"/>
      <c r="W2" s="8"/>
      <c r="X2" s="8"/>
      <c r="Y2" s="8"/>
      <c r="Z2" s="8"/>
      <c r="AA2" s="8"/>
    </row>
    <row r="3" ht="25.5" customHeight="1" spans="1:27" x14ac:dyDescent="0.25">
      <c r="A3" s="13"/>
      <c r="B3" s="14" t="s">
        <v>1727</v>
      </c>
      <c r="C3" s="14" t="s">
        <v>1728</v>
      </c>
      <c r="D3" s="15" t="s">
        <v>1729</v>
      </c>
      <c r="E3" s="15" t="s">
        <v>1729</v>
      </c>
      <c r="F3" s="15" t="s">
        <v>1729</v>
      </c>
      <c r="G3" s="8" t="s">
        <v>1730</v>
      </c>
      <c r="H3" s="8"/>
      <c r="I3" s="8"/>
      <c r="J3" s="8"/>
      <c r="K3" s="8"/>
      <c r="L3" s="8"/>
      <c r="M3" s="8"/>
      <c r="N3" s="8"/>
      <c r="O3" s="8"/>
      <c r="P3" s="8"/>
      <c r="Q3" s="8"/>
      <c r="R3" s="8"/>
      <c r="S3" s="8"/>
      <c r="T3" s="8"/>
      <c r="U3" s="8"/>
      <c r="V3" s="8"/>
      <c r="W3" s="8"/>
      <c r="X3" s="8"/>
      <c r="Y3" s="8"/>
      <c r="Z3" s="8"/>
      <c r="AA3" s="8"/>
    </row>
    <row r="4" ht="50.25" customHeight="1" spans="1:27" x14ac:dyDescent="0.25">
      <c r="A4" s="13"/>
      <c r="B4" s="14" t="s">
        <v>1727</v>
      </c>
      <c r="C4" s="14" t="s">
        <v>1731</v>
      </c>
      <c r="D4" s="16"/>
      <c r="E4" s="16"/>
      <c r="F4" s="16"/>
      <c r="G4" s="8"/>
      <c r="H4" s="8"/>
      <c r="I4" s="8"/>
      <c r="J4" s="8"/>
      <c r="K4" s="8"/>
      <c r="L4" s="8"/>
      <c r="M4" s="8"/>
      <c r="N4" s="8"/>
      <c r="O4" s="8"/>
      <c r="P4" s="8"/>
      <c r="Q4" s="8"/>
      <c r="R4" s="8"/>
      <c r="S4" s="8"/>
      <c r="T4" s="8"/>
      <c r="U4" s="8"/>
      <c r="V4" s="8"/>
      <c r="W4" s="8"/>
      <c r="X4" s="8"/>
      <c r="Y4" s="8"/>
      <c r="Z4" s="8"/>
      <c r="AA4" s="8"/>
    </row>
    <row r="5" ht="25.5" customHeight="1" spans="1:27" x14ac:dyDescent="0.25">
      <c r="A5" s="13"/>
      <c r="B5" s="14" t="s">
        <v>1732</v>
      </c>
      <c r="C5" s="14" t="s">
        <v>1733</v>
      </c>
      <c r="D5" s="15" t="s">
        <v>1734</v>
      </c>
      <c r="E5" s="15">
        <v>120000</v>
      </c>
      <c r="F5" s="15">
        <v>55000</v>
      </c>
      <c r="G5" s="17">
        <v>15500</v>
      </c>
      <c r="H5" s="8"/>
      <c r="I5" s="8"/>
      <c r="J5" s="8"/>
      <c r="K5" s="8"/>
      <c r="L5" s="8"/>
      <c r="M5" s="8"/>
      <c r="N5" s="8"/>
      <c r="O5" s="8"/>
      <c r="P5" s="8"/>
      <c r="Q5" s="8"/>
      <c r="R5" s="8"/>
      <c r="S5" s="8"/>
      <c r="T5" s="8"/>
      <c r="U5" s="8"/>
      <c r="V5" s="8"/>
      <c r="W5" s="8"/>
      <c r="X5" s="8"/>
      <c r="Y5" s="8"/>
      <c r="Z5" s="8"/>
      <c r="AA5" s="8"/>
    </row>
    <row r="6" ht="138" customHeight="1" spans="1:27" x14ac:dyDescent="0.25">
      <c r="A6" s="13"/>
      <c r="B6" s="14" t="s">
        <v>1732</v>
      </c>
      <c r="C6" s="14" t="s">
        <v>1735</v>
      </c>
      <c r="D6" s="15" t="s">
        <v>1736</v>
      </c>
      <c r="E6" s="15" t="s">
        <v>1737</v>
      </c>
      <c r="F6" s="15" t="s">
        <v>1738</v>
      </c>
      <c r="G6" s="17">
        <v>65000</v>
      </c>
      <c r="H6" s="8"/>
      <c r="I6" s="8"/>
      <c r="J6" s="8"/>
      <c r="K6" s="8"/>
      <c r="L6" s="8"/>
      <c r="M6" s="8"/>
      <c r="N6" s="8"/>
      <c r="O6" s="8"/>
      <c r="P6" s="8"/>
      <c r="Q6" s="8"/>
      <c r="R6" s="8"/>
      <c r="S6" s="8"/>
      <c r="T6" s="8"/>
      <c r="U6" s="8"/>
      <c r="V6" s="8"/>
      <c r="W6" s="8"/>
      <c r="X6" s="8"/>
      <c r="Y6" s="8"/>
      <c r="Z6" s="8"/>
      <c r="AA6" s="8"/>
    </row>
    <row r="7" ht="50.25" customHeight="1" spans="1:27" x14ac:dyDescent="0.25">
      <c r="A7" s="13"/>
      <c r="B7" s="14" t="s">
        <v>1732</v>
      </c>
      <c r="C7" s="14" t="s">
        <v>1739</v>
      </c>
      <c r="D7" s="15" t="s">
        <v>1740</v>
      </c>
      <c r="E7" s="15" t="s">
        <v>1741</v>
      </c>
      <c r="F7" s="15">
        <v>4</v>
      </c>
      <c r="G7" s="17">
        <v>4.19</v>
      </c>
      <c r="H7" s="8"/>
      <c r="I7" s="8"/>
      <c r="J7" s="8"/>
      <c r="K7" s="8"/>
      <c r="L7" s="8"/>
      <c r="M7" s="8"/>
      <c r="N7" s="8"/>
      <c r="O7" s="8"/>
      <c r="P7" s="8"/>
      <c r="Q7" s="8"/>
      <c r="R7" s="8"/>
      <c r="S7" s="8"/>
      <c r="T7" s="8"/>
      <c r="U7" s="8"/>
      <c r="V7" s="8"/>
      <c r="W7" s="8"/>
      <c r="X7" s="8"/>
      <c r="Y7" s="8"/>
      <c r="Z7" s="8"/>
      <c r="AA7" s="8"/>
    </row>
    <row r="8" ht="25.5" customHeight="1" spans="1:27" x14ac:dyDescent="0.25">
      <c r="A8" s="13"/>
      <c r="B8" s="14" t="s">
        <v>1732</v>
      </c>
      <c r="C8" s="14" t="s">
        <v>1742</v>
      </c>
      <c r="D8" s="16"/>
      <c r="E8" s="16"/>
      <c r="F8" s="16"/>
      <c r="G8" s="8"/>
      <c r="H8" s="8"/>
      <c r="I8" s="8"/>
      <c r="J8" s="8"/>
      <c r="K8" s="8"/>
      <c r="L8" s="8"/>
      <c r="M8" s="8"/>
      <c r="N8" s="8"/>
      <c r="O8" s="8"/>
      <c r="P8" s="8"/>
      <c r="Q8" s="8"/>
      <c r="R8" s="8"/>
      <c r="S8" s="8"/>
      <c r="T8" s="8"/>
      <c r="U8" s="8"/>
      <c r="V8" s="8"/>
      <c r="W8" s="8"/>
      <c r="X8" s="8"/>
      <c r="Y8" s="8"/>
      <c r="Z8" s="8"/>
      <c r="AA8" s="8"/>
    </row>
    <row r="9" ht="25.5" customHeight="1" spans="1:27" x14ac:dyDescent="0.25">
      <c r="A9" s="13"/>
      <c r="B9" s="14" t="s">
        <v>1743</v>
      </c>
      <c r="C9" s="14" t="s">
        <v>1744</v>
      </c>
      <c r="D9" s="15">
        <v>4500</v>
      </c>
      <c r="E9" s="15">
        <v>5500</v>
      </c>
      <c r="F9" s="18">
        <v>5000</v>
      </c>
      <c r="G9" s="8"/>
      <c r="H9" s="8"/>
      <c r="I9" s="8"/>
      <c r="J9" s="8"/>
      <c r="K9" s="8"/>
      <c r="L9" s="8"/>
      <c r="M9" s="8"/>
      <c r="N9" s="8"/>
      <c r="O9" s="8"/>
      <c r="P9" s="8"/>
      <c r="Q9" s="8"/>
      <c r="R9" s="8"/>
      <c r="S9" s="8"/>
      <c r="T9" s="8"/>
      <c r="U9" s="8"/>
      <c r="V9" s="8"/>
      <c r="W9" s="8"/>
      <c r="X9" s="8"/>
      <c r="Y9" s="8"/>
      <c r="Z9" s="8"/>
      <c r="AA9" s="8"/>
    </row>
    <row r="10" ht="25.5" customHeight="1" spans="1:27" x14ac:dyDescent="0.25">
      <c r="A10" s="13"/>
      <c r="B10" s="14" t="s">
        <v>1743</v>
      </c>
      <c r="C10" s="14" t="s">
        <v>1745</v>
      </c>
      <c r="D10" s="15" t="s">
        <v>1746</v>
      </c>
      <c r="E10" s="15" t="s">
        <v>1746</v>
      </c>
      <c r="F10" s="15" t="s">
        <v>1746</v>
      </c>
      <c r="G10" s="8"/>
      <c r="H10" s="8"/>
      <c r="I10" s="8"/>
      <c r="J10" s="8"/>
      <c r="K10" s="8"/>
      <c r="L10" s="8"/>
      <c r="M10" s="8"/>
      <c r="N10" s="8"/>
      <c r="O10" s="8"/>
      <c r="P10" s="8"/>
      <c r="Q10" s="8"/>
      <c r="R10" s="8"/>
      <c r="S10" s="8"/>
      <c r="T10" s="8"/>
      <c r="U10" s="8"/>
      <c r="V10" s="8"/>
      <c r="W10" s="8"/>
      <c r="X10" s="8"/>
      <c r="Y10" s="8"/>
      <c r="Z10" s="8"/>
      <c r="AA10" s="8"/>
    </row>
    <row r="11" ht="25.5" customHeight="1" spans="1:27" x14ac:dyDescent="0.25">
      <c r="A11" s="13"/>
      <c r="B11" s="14" t="s">
        <v>1743</v>
      </c>
      <c r="C11" s="16"/>
      <c r="D11" s="16"/>
      <c r="E11" s="16"/>
      <c r="F11" s="16"/>
      <c r="G11" s="8"/>
      <c r="H11" s="8"/>
      <c r="I11" s="8"/>
      <c r="J11" s="8"/>
      <c r="K11" s="8"/>
      <c r="L11" s="8"/>
      <c r="M11" s="8"/>
      <c r="N11" s="8"/>
      <c r="O11" s="8"/>
      <c r="P11" s="8"/>
      <c r="Q11" s="8"/>
      <c r="R11" s="8"/>
      <c r="S11" s="8"/>
      <c r="T11" s="8"/>
      <c r="U11" s="8"/>
      <c r="V11" s="8"/>
      <c r="W11" s="8"/>
      <c r="X11" s="8"/>
      <c r="Y11" s="8"/>
      <c r="Z11" s="8"/>
      <c r="AA11" s="8"/>
    </row>
    <row r="12" ht="87.75" customHeight="1" spans="1:27" x14ac:dyDescent="0.25">
      <c r="A12" s="13"/>
      <c r="B12" s="14" t="s">
        <v>1743</v>
      </c>
      <c r="C12" s="14" t="s">
        <v>1747</v>
      </c>
      <c r="D12" s="15" t="s">
        <v>1748</v>
      </c>
      <c r="E12" s="19">
        <v>0.625</v>
      </c>
      <c r="F12" s="18" t="s">
        <v>1749</v>
      </c>
      <c r="G12" s="8"/>
      <c r="H12" s="8"/>
      <c r="I12" s="8"/>
      <c r="J12" s="8"/>
      <c r="K12" s="8"/>
      <c r="L12" s="8"/>
      <c r="M12" s="8"/>
      <c r="N12" s="8"/>
      <c r="O12" s="8"/>
      <c r="P12" s="8"/>
      <c r="Q12" s="8"/>
      <c r="R12" s="8"/>
      <c r="S12" s="8"/>
      <c r="T12" s="8"/>
      <c r="U12" s="8"/>
      <c r="V12" s="8"/>
      <c r="W12" s="8"/>
      <c r="X12" s="8"/>
      <c r="Y12" s="8"/>
      <c r="Z12" s="8"/>
      <c r="AA12" s="8"/>
    </row>
    <row r="13" ht="25.5" customHeight="1" spans="1:27" x14ac:dyDescent="0.25">
      <c r="A13" s="13"/>
      <c r="B13" s="14" t="s">
        <v>1743</v>
      </c>
      <c r="C13" s="14" t="s">
        <v>1750</v>
      </c>
      <c r="D13" s="20">
        <v>0.9</v>
      </c>
      <c r="E13" s="20">
        <v>0.8</v>
      </c>
      <c r="F13" s="21">
        <v>0.8</v>
      </c>
      <c r="G13" s="8"/>
      <c r="H13" s="8"/>
      <c r="I13" s="8"/>
      <c r="J13" s="8"/>
      <c r="K13" s="8"/>
      <c r="L13" s="8"/>
      <c r="M13" s="8"/>
      <c r="N13" s="8"/>
      <c r="O13" s="8"/>
      <c r="P13" s="8"/>
      <c r="Q13" s="8"/>
      <c r="R13" s="8"/>
      <c r="S13" s="8"/>
      <c r="T13" s="8"/>
      <c r="U13" s="8"/>
      <c r="V13" s="8"/>
      <c r="W13" s="8"/>
      <c r="X13" s="8"/>
      <c r="Y13" s="8"/>
      <c r="Z13" s="8"/>
      <c r="AA13" s="8"/>
    </row>
    <row r="14" ht="75" customHeight="1" spans="1:27" x14ac:dyDescent="0.25">
      <c r="A14" s="13"/>
      <c r="B14" s="14" t="s">
        <v>1751</v>
      </c>
      <c r="C14" s="14" t="s">
        <v>1752</v>
      </c>
      <c r="D14" s="15" t="s">
        <v>1753</v>
      </c>
      <c r="E14" s="15" t="s">
        <v>1754</v>
      </c>
      <c r="F14" s="18" t="s">
        <v>1755</v>
      </c>
      <c r="G14" s="8"/>
      <c r="H14" s="8"/>
      <c r="I14" s="8"/>
      <c r="J14" s="8"/>
      <c r="K14" s="8"/>
      <c r="L14" s="8"/>
      <c r="M14" s="8"/>
      <c r="N14" s="8"/>
      <c r="O14" s="8"/>
      <c r="P14" s="8"/>
      <c r="Q14" s="8"/>
      <c r="R14" s="8"/>
      <c r="S14" s="8"/>
      <c r="T14" s="8"/>
      <c r="U14" s="8"/>
      <c r="V14" s="8"/>
      <c r="W14" s="8"/>
      <c r="X14" s="8"/>
      <c r="Y14" s="8"/>
      <c r="Z14" s="8"/>
      <c r="AA14" s="8"/>
    </row>
    <row r="15" ht="262.5" customHeight="1" spans="1:27" x14ac:dyDescent="0.25">
      <c r="A15" s="13"/>
      <c r="B15" s="14" t="s">
        <v>1751</v>
      </c>
      <c r="C15" s="14" t="s">
        <v>1756</v>
      </c>
      <c r="D15" s="15" t="s">
        <v>1757</v>
      </c>
      <c r="E15" s="15" t="s">
        <v>1758</v>
      </c>
      <c r="F15" s="15" t="s">
        <v>1759</v>
      </c>
      <c r="G15" s="8"/>
      <c r="H15" s="8"/>
      <c r="I15" s="8"/>
      <c r="J15" s="8"/>
      <c r="K15" s="8"/>
      <c r="L15" s="8"/>
      <c r="M15" s="8"/>
      <c r="N15" s="8"/>
      <c r="O15" s="8"/>
      <c r="P15" s="8"/>
      <c r="Q15" s="8"/>
      <c r="R15" s="8"/>
      <c r="S15" s="8"/>
      <c r="T15" s="8"/>
      <c r="U15" s="8"/>
      <c r="V15" s="8"/>
      <c r="W15" s="8"/>
      <c r="X15" s="8"/>
      <c r="Y15" s="8"/>
      <c r="Z15" s="8"/>
      <c r="AA15" s="8"/>
    </row>
    <row r="16" ht="88.5" customHeight="1" spans="1:27" x14ac:dyDescent="0.25">
      <c r="A16" s="13"/>
      <c r="B16" s="14" t="s">
        <v>1751</v>
      </c>
      <c r="C16" s="14" t="s">
        <v>1760</v>
      </c>
      <c r="D16" s="15" t="s">
        <v>1761</v>
      </c>
      <c r="E16" s="15" t="s">
        <v>1762</v>
      </c>
      <c r="F16" s="18" t="s">
        <v>1763</v>
      </c>
      <c r="G16" s="8" t="s">
        <v>1764</v>
      </c>
      <c r="H16" s="8"/>
      <c r="I16" s="8"/>
      <c r="J16" s="8"/>
      <c r="K16" s="8"/>
      <c r="L16" s="8"/>
      <c r="M16" s="8"/>
      <c r="N16" s="8"/>
      <c r="O16" s="8"/>
      <c r="P16" s="8"/>
      <c r="Q16" s="8"/>
      <c r="R16" s="8"/>
      <c r="S16" s="8"/>
      <c r="T16" s="8"/>
      <c r="U16" s="8"/>
      <c r="V16" s="8"/>
      <c r="W16" s="8"/>
      <c r="X16" s="8"/>
      <c r="Y16" s="8"/>
      <c r="Z16" s="8"/>
      <c r="AA16" s="8"/>
    </row>
    <row r="17" ht="112.5" customHeight="1" spans="1:27" x14ac:dyDescent="0.25">
      <c r="A17" s="13"/>
      <c r="B17" s="14" t="s">
        <v>1751</v>
      </c>
      <c r="C17" s="14" t="s">
        <v>1765</v>
      </c>
      <c r="D17" s="15" t="s">
        <v>1766</v>
      </c>
      <c r="E17" s="15" t="s">
        <v>1767</v>
      </c>
      <c r="F17" s="15" t="s">
        <v>1768</v>
      </c>
      <c r="G17" s="8" t="s">
        <v>1769</v>
      </c>
      <c r="H17" s="8"/>
      <c r="I17" s="8"/>
      <c r="J17" s="8"/>
      <c r="K17" s="8"/>
      <c r="L17" s="8"/>
      <c r="M17" s="8"/>
      <c r="N17" s="8"/>
      <c r="O17" s="8"/>
      <c r="P17" s="8"/>
      <c r="Q17" s="8"/>
      <c r="R17" s="8"/>
      <c r="S17" s="8"/>
      <c r="T17" s="8"/>
      <c r="U17" s="8"/>
      <c r="V17" s="8"/>
      <c r="W17" s="8"/>
      <c r="X17" s="8"/>
      <c r="Y17" s="8"/>
      <c r="Z17" s="8"/>
      <c r="AA17" s="8"/>
    </row>
    <row r="18" ht="112.5" customHeight="1" spans="1:27" x14ac:dyDescent="0.25">
      <c r="A18" s="13"/>
      <c r="B18" s="14" t="s">
        <v>1751</v>
      </c>
      <c r="C18" s="14" t="s">
        <v>1770</v>
      </c>
      <c r="D18" s="15" t="s">
        <v>1771</v>
      </c>
      <c r="E18" s="15" t="s">
        <v>1772</v>
      </c>
      <c r="F18" s="15" t="s">
        <v>1773</v>
      </c>
      <c r="G18" s="8"/>
      <c r="H18" s="8"/>
      <c r="I18" s="8"/>
      <c r="J18" s="8"/>
      <c r="K18" s="8"/>
      <c r="L18" s="8"/>
      <c r="M18" s="8"/>
      <c r="N18" s="8"/>
      <c r="O18" s="8"/>
      <c r="P18" s="8"/>
      <c r="Q18" s="8"/>
      <c r="R18" s="8"/>
      <c r="S18" s="8"/>
      <c r="T18" s="8"/>
      <c r="U18" s="8"/>
      <c r="V18" s="8"/>
      <c r="W18" s="8"/>
      <c r="X18" s="8"/>
      <c r="Y18" s="8"/>
      <c r="Z18" s="8"/>
      <c r="AA18" s="8"/>
    </row>
    <row r="19" ht="100.5" customHeight="1" spans="1:27" x14ac:dyDescent="0.25">
      <c r="A19" s="13"/>
      <c r="B19" s="14" t="s">
        <v>1751</v>
      </c>
      <c r="C19" s="14" t="s">
        <v>1774</v>
      </c>
      <c r="D19" s="15" t="s">
        <v>1775</v>
      </c>
      <c r="E19" s="16"/>
      <c r="F19" s="15" t="s">
        <v>1776</v>
      </c>
      <c r="G19" s="8"/>
      <c r="H19" s="8"/>
      <c r="I19" s="8"/>
      <c r="J19" s="8"/>
      <c r="K19" s="8"/>
      <c r="L19" s="8"/>
      <c r="M19" s="8"/>
      <c r="N19" s="8"/>
      <c r="O19" s="8"/>
      <c r="P19" s="8"/>
      <c r="Q19" s="8"/>
      <c r="R19" s="8"/>
      <c r="S19" s="8"/>
      <c r="T19" s="8"/>
      <c r="U19" s="8"/>
      <c r="V19" s="8"/>
      <c r="W19" s="8"/>
      <c r="X19" s="8"/>
      <c r="Y19" s="8"/>
      <c r="Z19" s="8"/>
      <c r="AA19" s="8"/>
    </row>
    <row r="20" ht="15" customHeight="1" spans="1:27" x14ac:dyDescent="0.25">
      <c r="A20" s="13"/>
      <c r="B20" s="14" t="s">
        <v>1777</v>
      </c>
      <c r="C20" s="14" t="s">
        <v>1778</v>
      </c>
      <c r="D20" s="20">
        <v>0.95</v>
      </c>
      <c r="E20" s="20">
        <v>0.93</v>
      </c>
      <c r="F20" s="15" t="s">
        <v>1779</v>
      </c>
      <c r="G20" s="8"/>
      <c r="H20" s="8"/>
      <c r="I20" s="8"/>
      <c r="J20" s="8"/>
      <c r="K20" s="8"/>
      <c r="L20" s="8"/>
      <c r="M20" s="8"/>
      <c r="N20" s="8"/>
      <c r="O20" s="8"/>
      <c r="P20" s="8"/>
      <c r="Q20" s="8"/>
      <c r="R20" s="8"/>
      <c r="S20" s="8"/>
      <c r="T20" s="8"/>
      <c r="U20" s="8"/>
      <c r="V20" s="8"/>
      <c r="W20" s="8"/>
      <c r="X20" s="8"/>
      <c r="Y20" s="8"/>
      <c r="Z20" s="8"/>
      <c r="AA20" s="8"/>
    </row>
    <row r="21" ht="25.5" customHeight="1" spans="1:27" x14ac:dyDescent="0.25">
      <c r="A21" s="13"/>
      <c r="B21" s="14" t="s">
        <v>1777</v>
      </c>
      <c r="C21" s="14" t="s">
        <v>1780</v>
      </c>
      <c r="D21" s="16"/>
      <c r="E21" s="16"/>
      <c r="F21" s="16"/>
      <c r="G21" s="8"/>
      <c r="H21" s="8"/>
      <c r="I21" s="8"/>
      <c r="J21" s="8"/>
      <c r="K21" s="8"/>
      <c r="L21" s="8"/>
      <c r="M21" s="8"/>
      <c r="N21" s="8"/>
      <c r="O21" s="8"/>
      <c r="P21" s="8"/>
      <c r="Q21" s="8"/>
      <c r="R21" s="8"/>
      <c r="S21" s="8"/>
      <c r="T21" s="8"/>
      <c r="U21" s="8"/>
      <c r="V21" s="8"/>
      <c r="W21" s="8"/>
      <c r="X21" s="8"/>
      <c r="Y21" s="8"/>
      <c r="Z21" s="8"/>
      <c r="AA21" s="8"/>
    </row>
    <row r="22" ht="75" customHeight="1" spans="1:27" x14ac:dyDescent="0.25">
      <c r="A22" s="13"/>
      <c r="B22" s="14" t="s">
        <v>1777</v>
      </c>
      <c r="C22" s="14" t="s">
        <v>1781</v>
      </c>
      <c r="D22" s="15" t="s">
        <v>1782</v>
      </c>
      <c r="E22" s="16"/>
      <c r="F22" s="15" t="s">
        <v>1783</v>
      </c>
      <c r="G22" s="8"/>
      <c r="H22" s="8"/>
      <c r="I22" s="8"/>
      <c r="J22" s="8"/>
      <c r="K22" s="8"/>
      <c r="L22" s="8"/>
      <c r="M22" s="8"/>
      <c r="N22" s="8"/>
      <c r="O22" s="8"/>
      <c r="P22" s="8"/>
      <c r="Q22" s="8"/>
      <c r="R22" s="8"/>
      <c r="S22" s="8"/>
      <c r="T22" s="8"/>
      <c r="U22" s="8"/>
      <c r="V22" s="8"/>
      <c r="W22" s="8"/>
      <c r="X22" s="8"/>
      <c r="Y22" s="8"/>
      <c r="Z22" s="8"/>
      <c r="AA22" s="8"/>
    </row>
    <row r="23" ht="125.25" customHeight="1" spans="1:27" x14ac:dyDescent="0.25">
      <c r="A23" s="13"/>
      <c r="B23" s="14" t="s">
        <v>1777</v>
      </c>
      <c r="C23" s="14" t="s">
        <v>1784</v>
      </c>
      <c r="D23" s="15" t="s">
        <v>1785</v>
      </c>
      <c r="E23" s="15" t="s">
        <v>1786</v>
      </c>
      <c r="F23" s="15" t="s">
        <v>1786</v>
      </c>
      <c r="G23" s="8"/>
      <c r="H23" s="8"/>
      <c r="I23" s="8"/>
      <c r="J23" s="8"/>
      <c r="K23" s="8"/>
      <c r="L23" s="8"/>
      <c r="M23" s="8"/>
      <c r="N23" s="8"/>
      <c r="O23" s="8"/>
      <c r="P23" s="8"/>
      <c r="Q23" s="8"/>
      <c r="R23" s="8"/>
      <c r="S23" s="8"/>
      <c r="T23" s="8"/>
      <c r="U23" s="8"/>
      <c r="V23" s="8"/>
      <c r="W23" s="8"/>
      <c r="X23" s="8"/>
      <c r="Y23" s="8"/>
      <c r="Z23" s="8"/>
      <c r="AA23" s="8"/>
    </row>
    <row r="24" ht="37.5" customHeight="1" spans="1:27" x14ac:dyDescent="0.25">
      <c r="A24" s="13"/>
      <c r="B24" s="14" t="s">
        <v>1777</v>
      </c>
      <c r="C24" s="14" t="s">
        <v>1787</v>
      </c>
      <c r="D24" s="16"/>
      <c r="E24" s="16"/>
      <c r="F24" s="16"/>
      <c r="G24" s="8"/>
      <c r="H24" s="8"/>
      <c r="I24" s="8"/>
      <c r="J24" s="8"/>
      <c r="K24" s="8"/>
      <c r="L24" s="8"/>
      <c r="M24" s="8"/>
      <c r="N24" s="8"/>
      <c r="O24" s="8"/>
      <c r="P24" s="8"/>
      <c r="Q24" s="8"/>
      <c r="R24" s="8"/>
      <c r="S24" s="8"/>
      <c r="T24" s="8"/>
      <c r="U24" s="8"/>
      <c r="V24" s="8"/>
      <c r="W24" s="8"/>
      <c r="X24" s="8"/>
      <c r="Y24" s="8"/>
      <c r="Z24" s="8"/>
      <c r="AA24" s="8"/>
    </row>
    <row r="25" ht="15" customHeight="1" spans="1:27" x14ac:dyDescent="0.25">
      <c r="A25" s="13"/>
      <c r="B25" s="14" t="s">
        <v>1777</v>
      </c>
      <c r="C25" s="14" t="s">
        <v>1788</v>
      </c>
      <c r="D25" s="16"/>
      <c r="E25" s="16"/>
      <c r="F25" s="16"/>
      <c r="G25" s="8"/>
      <c r="H25" s="8"/>
      <c r="I25" s="8"/>
      <c r="J25" s="8"/>
      <c r="K25" s="8"/>
      <c r="L25" s="8"/>
      <c r="M25" s="8"/>
      <c r="N25" s="8"/>
      <c r="O25" s="8"/>
      <c r="P25" s="8"/>
      <c r="Q25" s="8"/>
      <c r="R25" s="8"/>
      <c r="S25" s="8"/>
      <c r="T25" s="8"/>
      <c r="U25" s="8"/>
      <c r="V25" s="8"/>
      <c r="W25" s="8"/>
      <c r="X25" s="8"/>
      <c r="Y25" s="8"/>
      <c r="Z25" s="8"/>
      <c r="AA25" s="8"/>
    </row>
    <row r="26" ht="87.75" customHeight="1" spans="1:27" x14ac:dyDescent="0.25">
      <c r="A26" s="13"/>
      <c r="B26" s="14" t="s">
        <v>1789</v>
      </c>
      <c r="C26" s="14" t="s">
        <v>1790</v>
      </c>
      <c r="D26" s="15" t="s">
        <v>1791</v>
      </c>
      <c r="E26" s="15" t="s">
        <v>1792</v>
      </c>
      <c r="F26" s="15" t="s">
        <v>1793</v>
      </c>
      <c r="G26" s="8"/>
      <c r="H26" s="8"/>
      <c r="I26" s="8"/>
      <c r="J26" s="8"/>
      <c r="K26" s="8"/>
      <c r="L26" s="8"/>
      <c r="M26" s="8"/>
      <c r="N26" s="8"/>
      <c r="O26" s="8"/>
      <c r="P26" s="8"/>
      <c r="Q26" s="8"/>
      <c r="R26" s="8"/>
      <c r="S26" s="8"/>
      <c r="T26" s="8"/>
      <c r="U26" s="8"/>
      <c r="V26" s="8"/>
      <c r="W26" s="8"/>
      <c r="X26" s="8"/>
      <c r="Y26" s="8"/>
      <c r="Z26" s="8"/>
      <c r="AA26" s="8"/>
    </row>
    <row r="27" ht="37.5" customHeight="1" spans="1:27" x14ac:dyDescent="0.25">
      <c r="A27" s="13"/>
      <c r="B27" s="14" t="s">
        <v>1789</v>
      </c>
      <c r="C27" s="14" t="s">
        <v>1794</v>
      </c>
      <c r="D27" s="15" t="s">
        <v>1795</v>
      </c>
      <c r="E27" s="15" t="s">
        <v>1795</v>
      </c>
      <c r="F27" s="15" t="s">
        <v>1795</v>
      </c>
      <c r="G27" s="8"/>
      <c r="H27" s="8"/>
      <c r="I27" s="8"/>
      <c r="J27" s="8"/>
      <c r="K27" s="8"/>
      <c r="L27" s="8"/>
      <c r="M27" s="8"/>
      <c r="N27" s="8"/>
      <c r="O27" s="8"/>
      <c r="P27" s="8"/>
      <c r="Q27" s="8"/>
      <c r="R27" s="8"/>
      <c r="S27" s="8"/>
      <c r="T27" s="8"/>
      <c r="U27" s="8"/>
      <c r="V27" s="8"/>
      <c r="W27" s="8"/>
      <c r="X27" s="8"/>
      <c r="Y27" s="8"/>
      <c r="Z27" s="8"/>
      <c r="AA27" s="8"/>
    </row>
    <row r="28" ht="37.5" customHeight="1" spans="1:27" x14ac:dyDescent="0.25">
      <c r="A28" s="13"/>
      <c r="B28" s="14" t="s">
        <v>1789</v>
      </c>
      <c r="C28" s="14" t="s">
        <v>1796</v>
      </c>
      <c r="D28" s="15" t="s">
        <v>1797</v>
      </c>
      <c r="E28" s="15" t="s">
        <v>1797</v>
      </c>
      <c r="F28" s="15" t="s">
        <v>1797</v>
      </c>
      <c r="G28" s="8"/>
      <c r="H28" s="8"/>
      <c r="I28" s="8"/>
      <c r="J28" s="8"/>
      <c r="K28" s="8"/>
      <c r="L28" s="8"/>
      <c r="M28" s="8"/>
      <c r="N28" s="8"/>
      <c r="O28" s="8"/>
      <c r="P28" s="8"/>
      <c r="Q28" s="8"/>
      <c r="R28" s="8"/>
      <c r="S28" s="8"/>
      <c r="T28" s="8"/>
      <c r="U28" s="8"/>
      <c r="V28" s="8"/>
      <c r="W28" s="8"/>
      <c r="X28" s="8"/>
      <c r="Y28" s="8"/>
      <c r="Z28" s="8"/>
      <c r="AA28" s="8"/>
    </row>
    <row r="29" ht="37.5" customHeight="1" spans="1:27" x14ac:dyDescent="0.25">
      <c r="A29" s="13"/>
      <c r="B29" s="14" t="s">
        <v>1789</v>
      </c>
      <c r="C29" s="14" t="s">
        <v>1798</v>
      </c>
      <c r="D29" s="15">
        <v>4</v>
      </c>
      <c r="E29" s="15">
        <v>4</v>
      </c>
      <c r="F29" s="15">
        <v>4</v>
      </c>
      <c r="G29" s="8"/>
      <c r="H29" s="8"/>
      <c r="I29" s="8"/>
      <c r="J29" s="8"/>
      <c r="K29" s="8"/>
      <c r="L29" s="8"/>
      <c r="M29" s="8"/>
      <c r="N29" s="8"/>
      <c r="O29" s="8"/>
      <c r="P29" s="8"/>
      <c r="Q29" s="8"/>
      <c r="R29" s="8"/>
      <c r="S29" s="8"/>
      <c r="T29" s="8"/>
      <c r="U29" s="8"/>
      <c r="V29" s="8"/>
      <c r="W29" s="8"/>
      <c r="X29" s="8"/>
      <c r="Y29" s="8"/>
      <c r="Z29" s="8"/>
      <c r="AA29" s="8"/>
    </row>
    <row r="30" ht="63" customHeight="1" spans="1:27" x14ac:dyDescent="0.25">
      <c r="A30" s="13"/>
      <c r="B30" s="14" t="s">
        <v>1789</v>
      </c>
      <c r="C30" s="14" t="s">
        <v>1799</v>
      </c>
      <c r="D30" s="18">
        <v>10</v>
      </c>
      <c r="E30" s="15" t="s">
        <v>1800</v>
      </c>
      <c r="F30" s="15">
        <v>8</v>
      </c>
      <c r="G30" s="8"/>
      <c r="H30" s="8"/>
      <c r="I30" s="8"/>
      <c r="J30" s="8"/>
      <c r="K30" s="8"/>
      <c r="L30" s="8"/>
      <c r="M30" s="8"/>
      <c r="N30" s="8"/>
      <c r="O30" s="8"/>
      <c r="P30" s="8"/>
      <c r="Q30" s="8"/>
      <c r="R30" s="8"/>
      <c r="S30" s="8"/>
      <c r="T30" s="8"/>
      <c r="U30" s="8"/>
      <c r="V30" s="8"/>
      <c r="W30" s="8"/>
      <c r="X30" s="8"/>
      <c r="Y30" s="8"/>
      <c r="Z30" s="8"/>
      <c r="AA30" s="8"/>
    </row>
    <row r="31" ht="63" customHeight="1" spans="1:27" x14ac:dyDescent="0.25">
      <c r="A31" s="13"/>
      <c r="B31" s="14" t="s">
        <v>1789</v>
      </c>
      <c r="C31" s="14" t="s">
        <v>1801</v>
      </c>
      <c r="D31" s="16"/>
      <c r="E31" s="15" t="s">
        <v>1802</v>
      </c>
      <c r="F31" s="15" t="s">
        <v>1803</v>
      </c>
      <c r="G31" s="8"/>
      <c r="H31" s="8"/>
      <c r="I31" s="8"/>
      <c r="J31" s="8"/>
      <c r="K31" s="8"/>
      <c r="L31" s="8"/>
      <c r="M31" s="8"/>
      <c r="N31" s="8"/>
      <c r="O31" s="8"/>
      <c r="P31" s="8"/>
      <c r="Q31" s="8"/>
      <c r="R31" s="8"/>
      <c r="S31" s="8"/>
      <c r="T31" s="8"/>
      <c r="U31" s="8"/>
      <c r="V31" s="8"/>
      <c r="W31" s="8"/>
      <c r="X31" s="8"/>
      <c r="Y31" s="8"/>
      <c r="Z31" s="8"/>
      <c r="AA31" s="8"/>
    </row>
    <row r="32" ht="63" customHeight="1" spans="1:27" x14ac:dyDescent="0.25">
      <c r="A32" s="13"/>
      <c r="B32" s="14" t="s">
        <v>1789</v>
      </c>
      <c r="C32" s="14" t="s">
        <v>1804</v>
      </c>
      <c r="D32" s="15" t="s">
        <v>1805</v>
      </c>
      <c r="E32" s="15" t="s">
        <v>1805</v>
      </c>
      <c r="F32" s="15" t="s">
        <v>1805</v>
      </c>
      <c r="G32" s="8"/>
      <c r="H32" s="8"/>
      <c r="I32" s="8"/>
      <c r="J32" s="8"/>
      <c r="K32" s="8"/>
      <c r="L32" s="8"/>
      <c r="M32" s="8"/>
      <c r="N32" s="8"/>
      <c r="O32" s="8"/>
      <c r="P32" s="8"/>
      <c r="Q32" s="8"/>
      <c r="R32" s="8"/>
      <c r="S32" s="8"/>
      <c r="T32" s="8"/>
      <c r="U32" s="8"/>
      <c r="V32" s="8"/>
      <c r="W32" s="8"/>
      <c r="X32" s="8"/>
      <c r="Y32" s="8"/>
      <c r="Z32" s="8"/>
      <c r="AA32" s="8"/>
    </row>
    <row r="33" ht="162.75" customHeight="1" spans="1:27" x14ac:dyDescent="0.25">
      <c r="A33" s="13"/>
      <c r="B33" s="14" t="s">
        <v>1806</v>
      </c>
      <c r="C33" s="14" t="s">
        <v>1807</v>
      </c>
      <c r="D33" s="15" t="s">
        <v>1808</v>
      </c>
      <c r="E33" s="16"/>
      <c r="F33" s="15" t="s">
        <v>1809</v>
      </c>
      <c r="G33" s="8"/>
      <c r="H33" s="8"/>
      <c r="I33" s="8"/>
      <c r="J33" s="8"/>
      <c r="K33" s="8"/>
      <c r="L33" s="8"/>
      <c r="M33" s="8"/>
      <c r="N33" s="8"/>
      <c r="O33" s="8"/>
      <c r="P33" s="8"/>
      <c r="Q33" s="8"/>
      <c r="R33" s="8"/>
      <c r="S33" s="8"/>
      <c r="T33" s="8"/>
      <c r="U33" s="8"/>
      <c r="V33" s="8"/>
      <c r="W33" s="8"/>
      <c r="X33" s="8"/>
      <c r="Y33" s="8"/>
      <c r="Z33" s="8"/>
      <c r="AA33" s="8"/>
    </row>
    <row r="34" ht="25.5" customHeight="1" spans="1:27" x14ac:dyDescent="0.25">
      <c r="A34" s="13"/>
      <c r="B34" s="14" t="s">
        <v>1806</v>
      </c>
      <c r="C34" s="14" t="s">
        <v>1810</v>
      </c>
      <c r="D34" s="16"/>
      <c r="E34" s="16"/>
      <c r="F34" s="16"/>
      <c r="G34" s="8"/>
      <c r="H34" s="8"/>
      <c r="I34" s="8"/>
      <c r="J34" s="8"/>
      <c r="K34" s="8"/>
      <c r="L34" s="8"/>
      <c r="M34" s="8"/>
      <c r="N34" s="8"/>
      <c r="O34" s="8"/>
      <c r="P34" s="8"/>
      <c r="Q34" s="8"/>
      <c r="R34" s="8"/>
      <c r="S34" s="8"/>
      <c r="T34" s="8"/>
      <c r="U34" s="8"/>
      <c r="V34" s="8"/>
      <c r="W34" s="8"/>
      <c r="X34" s="8"/>
      <c r="Y34" s="8"/>
      <c r="Z34" s="8"/>
      <c r="AA34" s="8"/>
    </row>
    <row r="35" ht="237.75" customHeight="1" spans="1:27" x14ac:dyDescent="0.25">
      <c r="A35" s="13"/>
      <c r="B35" s="14" t="s">
        <v>1806</v>
      </c>
      <c r="C35" s="14" t="s">
        <v>1811</v>
      </c>
      <c r="D35" s="15" t="s">
        <v>1812</v>
      </c>
      <c r="E35" s="15" t="s">
        <v>1813</v>
      </c>
      <c r="F35" s="15" t="s">
        <v>1814</v>
      </c>
      <c r="G35" s="8"/>
      <c r="H35" s="8"/>
      <c r="I35" s="8"/>
      <c r="J35" s="8"/>
      <c r="K35" s="8"/>
      <c r="L35" s="8"/>
      <c r="M35" s="8"/>
      <c r="N35" s="8"/>
      <c r="O35" s="8"/>
      <c r="P35" s="8"/>
      <c r="Q35" s="8"/>
      <c r="R35" s="8"/>
      <c r="S35" s="8"/>
      <c r="T35" s="8"/>
      <c r="U35" s="8"/>
      <c r="V35" s="8"/>
      <c r="W35" s="8"/>
      <c r="X35" s="8"/>
      <c r="Y35" s="8"/>
      <c r="Z35" s="8"/>
      <c r="AA35" s="8"/>
    </row>
    <row r="36" ht="25.5" customHeight="1" spans="1:27" x14ac:dyDescent="0.25">
      <c r="A36" s="13"/>
      <c r="B36" s="14" t="s">
        <v>1806</v>
      </c>
      <c r="C36" s="14" t="s">
        <v>1815</v>
      </c>
      <c r="D36" s="15" t="s">
        <v>1816</v>
      </c>
      <c r="E36" s="16"/>
      <c r="F36" s="16"/>
      <c r="G36" s="8"/>
      <c r="H36" s="8"/>
      <c r="I36" s="8"/>
      <c r="J36" s="8"/>
      <c r="K36" s="8"/>
      <c r="L36" s="8"/>
      <c r="M36" s="8"/>
      <c r="N36" s="8"/>
      <c r="O36" s="8"/>
      <c r="P36" s="8"/>
      <c r="Q36" s="8"/>
      <c r="R36" s="8"/>
      <c r="S36" s="8"/>
      <c r="T36" s="8"/>
      <c r="U36" s="8"/>
      <c r="V36" s="8"/>
      <c r="W36" s="8"/>
      <c r="X36" s="8"/>
      <c r="Y36" s="8"/>
      <c r="Z36" s="8"/>
      <c r="AA36" s="8"/>
    </row>
    <row r="37" ht="50.25" customHeight="1" spans="1:27" x14ac:dyDescent="0.25">
      <c r="A37" s="13"/>
      <c r="B37" s="14" t="s">
        <v>1806</v>
      </c>
      <c r="C37" s="14" t="s">
        <v>1817</v>
      </c>
      <c r="D37" s="15" t="s">
        <v>1818</v>
      </c>
      <c r="E37" s="15" t="s">
        <v>1819</v>
      </c>
      <c r="F37" s="22" t="s">
        <v>1819</v>
      </c>
      <c r="G37" s="8"/>
      <c r="H37" s="8"/>
      <c r="I37" s="8"/>
      <c r="J37" s="8"/>
      <c r="K37" s="8"/>
      <c r="L37" s="8"/>
      <c r="M37" s="8"/>
      <c r="N37" s="8"/>
      <c r="O37" s="8"/>
      <c r="P37" s="8"/>
      <c r="Q37" s="8"/>
      <c r="R37" s="8"/>
      <c r="S37" s="8"/>
      <c r="T37" s="8"/>
      <c r="U37" s="8"/>
      <c r="V37" s="8"/>
      <c r="W37" s="8"/>
      <c r="X37" s="8"/>
      <c r="Y37" s="8"/>
      <c r="Z37" s="8"/>
      <c r="AA37" s="8"/>
    </row>
    <row r="38" ht="50.25" customHeight="1" spans="1:27" x14ac:dyDescent="0.25">
      <c r="A38" s="13"/>
      <c r="B38" s="14" t="s">
        <v>1806</v>
      </c>
      <c r="C38" s="14" t="s">
        <v>1820</v>
      </c>
      <c r="D38" s="15" t="s">
        <v>1821</v>
      </c>
      <c r="E38" s="16"/>
      <c r="F38" s="15" t="s">
        <v>1822</v>
      </c>
      <c r="G38" s="8"/>
      <c r="H38" s="8"/>
      <c r="I38" s="8"/>
      <c r="J38" s="8"/>
      <c r="K38" s="8"/>
      <c r="L38" s="8"/>
      <c r="M38" s="8"/>
      <c r="N38" s="8"/>
      <c r="O38" s="8"/>
      <c r="P38" s="8"/>
      <c r="Q38" s="8"/>
      <c r="R38" s="8"/>
      <c r="S38" s="8"/>
      <c r="T38" s="8"/>
      <c r="U38" s="8"/>
      <c r="V38" s="8"/>
      <c r="W38" s="8"/>
      <c r="X38" s="8"/>
      <c r="Y38" s="8"/>
      <c r="Z38" s="8"/>
      <c r="AA38" s="8"/>
    </row>
    <row r="39" ht="25.5" customHeight="1" spans="1:27" x14ac:dyDescent="0.25">
      <c r="A39" s="13"/>
      <c r="B39" s="14" t="s">
        <v>1806</v>
      </c>
      <c r="C39" s="14" t="s">
        <v>1823</v>
      </c>
      <c r="D39" s="15" t="s">
        <v>1824</v>
      </c>
      <c r="E39" s="16"/>
      <c r="F39" s="15" t="s">
        <v>1795</v>
      </c>
      <c r="G39" s="8"/>
      <c r="H39" s="8"/>
      <c r="I39" s="17">
        <v>349.65</v>
      </c>
      <c r="J39" s="8"/>
      <c r="K39" s="8"/>
      <c r="L39" s="8"/>
      <c r="M39" s="8"/>
      <c r="N39" s="8"/>
      <c r="O39" s="8"/>
      <c r="P39" s="8"/>
      <c r="Q39" s="8"/>
      <c r="R39" s="8"/>
      <c r="S39" s="8"/>
      <c r="T39" s="8"/>
      <c r="U39" s="8"/>
      <c r="V39" s="8"/>
      <c r="W39" s="8"/>
      <c r="X39" s="8"/>
      <c r="Y39" s="8"/>
      <c r="Z39" s="8"/>
      <c r="AA39" s="8"/>
    </row>
    <row r="40" ht="50.25" customHeight="1" spans="1:27" x14ac:dyDescent="0.25">
      <c r="A40" s="13"/>
      <c r="B40" s="14" t="s">
        <v>164</v>
      </c>
      <c r="C40" s="14" t="s">
        <v>1825</v>
      </c>
      <c r="D40" s="15" t="s">
        <v>1826</v>
      </c>
      <c r="E40" s="15" t="s">
        <v>1827</v>
      </c>
      <c r="F40" s="15" t="s">
        <v>1828</v>
      </c>
      <c r="G40" s="8"/>
      <c r="H40" s="8"/>
      <c r="I40" s="17">
        <v>316.35</v>
      </c>
      <c r="J40" s="8"/>
      <c r="K40" s="8"/>
      <c r="L40" s="8"/>
      <c r="M40" s="8"/>
      <c r="N40" s="8"/>
      <c r="O40" s="8"/>
      <c r="P40" s="8"/>
      <c r="Q40" s="8"/>
      <c r="R40" s="8"/>
      <c r="S40" s="8"/>
      <c r="T40" s="8"/>
      <c r="U40" s="8"/>
      <c r="V40" s="8"/>
      <c r="W40" s="8"/>
      <c r="X40" s="8"/>
      <c r="Y40" s="8"/>
      <c r="Z40" s="8"/>
      <c r="AA40" s="8"/>
    </row>
    <row r="41" ht="87.75" customHeight="1" spans="1:27" x14ac:dyDescent="0.25">
      <c r="A41" s="13"/>
      <c r="B41" s="14" t="s">
        <v>164</v>
      </c>
      <c r="C41" s="14" t="s">
        <v>1829</v>
      </c>
      <c r="D41" s="16"/>
      <c r="E41" s="16"/>
      <c r="F41" s="16"/>
      <c r="G41" s="8"/>
      <c r="H41" s="8"/>
      <c r="I41" s="8"/>
      <c r="J41" s="8"/>
      <c r="K41" s="8"/>
      <c r="L41" s="8"/>
      <c r="M41" s="8"/>
      <c r="N41" s="8"/>
      <c r="O41" s="8"/>
      <c r="P41" s="8"/>
      <c r="Q41" s="8"/>
      <c r="R41" s="8"/>
      <c r="S41" s="8"/>
      <c r="T41" s="8"/>
      <c r="U41" s="8"/>
      <c r="V41" s="8"/>
      <c r="W41" s="8"/>
      <c r="X41" s="8"/>
      <c r="Y41" s="8"/>
      <c r="Z41" s="8"/>
      <c r="AA41" s="8"/>
    </row>
    <row r="42" ht="150" customHeight="1" spans="1:27" x14ac:dyDescent="0.25">
      <c r="A42" s="13"/>
      <c r="B42" s="14" t="s">
        <v>164</v>
      </c>
      <c r="C42" s="14" t="s">
        <v>1830</v>
      </c>
      <c r="D42" s="15" t="s">
        <v>1831</v>
      </c>
      <c r="E42" s="15" t="s">
        <v>1832</v>
      </c>
      <c r="F42" s="18" t="s">
        <v>1833</v>
      </c>
      <c r="G42" s="8"/>
      <c r="H42" s="8"/>
      <c r="I42" s="8"/>
      <c r="J42" s="8"/>
      <c r="K42" s="8"/>
      <c r="L42" s="8"/>
      <c r="M42" s="8"/>
      <c r="N42" s="8"/>
      <c r="O42" s="8"/>
      <c r="P42" s="8"/>
      <c r="Q42" s="8"/>
      <c r="R42" s="8"/>
      <c r="S42" s="8"/>
      <c r="T42" s="8"/>
      <c r="U42" s="8"/>
      <c r="V42" s="8"/>
      <c r="W42" s="8"/>
      <c r="X42" s="8"/>
      <c r="Y42" s="8"/>
      <c r="Z42" s="8"/>
      <c r="AA42" s="8"/>
    </row>
    <row r="43" ht="37.5" customHeight="1" spans="1:27" x14ac:dyDescent="0.25">
      <c r="A43" s="13"/>
      <c r="B43" s="14" t="s">
        <v>164</v>
      </c>
      <c r="C43" s="14" t="s">
        <v>1798</v>
      </c>
      <c r="D43" s="15">
        <v>4</v>
      </c>
      <c r="E43" s="15">
        <v>4</v>
      </c>
      <c r="F43" s="15">
        <v>4</v>
      </c>
      <c r="G43" s="8"/>
      <c r="H43" s="8"/>
      <c r="I43" s="8"/>
      <c r="J43" s="8"/>
      <c r="K43" s="8"/>
      <c r="L43" s="8"/>
      <c r="M43" s="8"/>
      <c r="N43" s="8"/>
      <c r="O43" s="8"/>
      <c r="P43" s="8"/>
      <c r="Q43" s="8"/>
      <c r="R43" s="8"/>
      <c r="S43" s="8"/>
      <c r="T43" s="8"/>
      <c r="U43" s="8"/>
      <c r="V43" s="8"/>
      <c r="W43" s="8"/>
      <c r="X43" s="8"/>
      <c r="Y43" s="8"/>
      <c r="Z43" s="8"/>
      <c r="AA43" s="8"/>
    </row>
    <row r="44" ht="25.5" customHeight="1" spans="1:27" x14ac:dyDescent="0.25">
      <c r="A44" s="13"/>
      <c r="B44" s="14" t="s">
        <v>164</v>
      </c>
      <c r="C44" s="14" t="s">
        <v>1834</v>
      </c>
      <c r="D44" s="16"/>
      <c r="E44" s="16"/>
      <c r="F44" s="16"/>
      <c r="G44" s="8"/>
      <c r="H44" s="8"/>
      <c r="I44" s="8"/>
      <c r="J44" s="8"/>
      <c r="K44" s="8"/>
      <c r="L44" s="8"/>
      <c r="M44" s="8"/>
      <c r="N44" s="8"/>
      <c r="O44" s="8"/>
      <c r="P44" s="8"/>
      <c r="Q44" s="8"/>
      <c r="R44" s="8"/>
      <c r="S44" s="8"/>
      <c r="T44" s="8"/>
      <c r="U44" s="8"/>
      <c r="V44" s="8"/>
      <c r="W44" s="8"/>
      <c r="X44" s="8"/>
      <c r="Y44" s="8"/>
      <c r="Z44" s="8"/>
      <c r="AA44" s="8"/>
    </row>
    <row r="45" ht="25.5" customHeight="1" spans="1:27" x14ac:dyDescent="0.25">
      <c r="A45" s="13"/>
      <c r="B45" s="14" t="s">
        <v>164</v>
      </c>
      <c r="C45" s="14" t="s">
        <v>1835</v>
      </c>
      <c r="D45" s="16"/>
      <c r="E45" s="16"/>
      <c r="F45" s="16"/>
      <c r="G45" s="8"/>
      <c r="H45" s="8"/>
      <c r="I45" s="8"/>
      <c r="J45" s="8"/>
      <c r="K45" s="8"/>
      <c r="L45" s="8"/>
      <c r="M45" s="8"/>
      <c r="N45" s="8"/>
      <c r="O45" s="8"/>
      <c r="P45" s="8"/>
      <c r="Q45" s="8"/>
      <c r="R45" s="8"/>
      <c r="S45" s="8"/>
      <c r="T45" s="8"/>
      <c r="U45" s="8"/>
      <c r="V45" s="8"/>
      <c r="W45" s="8"/>
      <c r="X45" s="8"/>
      <c r="Y45" s="8"/>
      <c r="Z45" s="8"/>
      <c r="AA45" s="8"/>
    </row>
    <row r="46" ht="50.25" customHeight="1" spans="1:27" x14ac:dyDescent="0.25">
      <c r="A46" s="13"/>
      <c r="B46" s="14" t="s">
        <v>164</v>
      </c>
      <c r="C46" s="14" t="s">
        <v>1836</v>
      </c>
      <c r="D46" s="16"/>
      <c r="E46" s="16"/>
      <c r="F46" s="16"/>
      <c r="G46" s="8"/>
      <c r="H46" s="8"/>
      <c r="I46" s="8"/>
      <c r="J46" s="8"/>
      <c r="K46" s="8"/>
      <c r="L46" s="8"/>
      <c r="M46" s="8"/>
      <c r="N46" s="8"/>
      <c r="O46" s="8"/>
      <c r="P46" s="8"/>
      <c r="Q46" s="8"/>
      <c r="R46" s="8"/>
      <c r="S46" s="8"/>
      <c r="T46" s="8"/>
      <c r="U46" s="8"/>
      <c r="V46" s="8"/>
      <c r="W46" s="8"/>
      <c r="X46" s="8"/>
      <c r="Y46" s="8"/>
      <c r="Z46" s="8"/>
      <c r="AA46" s="8"/>
    </row>
    <row r="47" ht="75" customHeight="1" spans="1:27" x14ac:dyDescent="0.25">
      <c r="A47" s="13"/>
      <c r="B47" s="14" t="s">
        <v>164</v>
      </c>
      <c r="C47" s="14" t="s">
        <v>1837</v>
      </c>
      <c r="D47" s="15" t="s">
        <v>1838</v>
      </c>
      <c r="E47" s="15" t="s">
        <v>1839</v>
      </c>
      <c r="F47" s="15" t="s">
        <v>1839</v>
      </c>
      <c r="G47" s="8"/>
      <c r="H47" s="8"/>
      <c r="I47" s="8"/>
      <c r="J47" s="8"/>
      <c r="K47" s="8"/>
      <c r="L47" s="8"/>
      <c r="M47" s="8"/>
      <c r="N47" s="8"/>
      <c r="O47" s="8"/>
      <c r="P47" s="8"/>
      <c r="Q47" s="8"/>
      <c r="R47" s="8"/>
      <c r="S47" s="8"/>
      <c r="T47" s="8"/>
      <c r="U47" s="8"/>
      <c r="V47" s="8"/>
      <c r="W47" s="8"/>
      <c r="X47" s="8"/>
      <c r="Y47" s="8"/>
      <c r="Z47" s="8"/>
      <c r="AA47" s="8"/>
    </row>
    <row r="48" ht="150" customHeight="1" spans="1:27" x14ac:dyDescent="0.25">
      <c r="A48" s="13"/>
      <c r="B48" s="14" t="s">
        <v>1840</v>
      </c>
      <c r="C48" s="14" t="s">
        <v>1841</v>
      </c>
      <c r="D48" s="15" t="s">
        <v>1842</v>
      </c>
      <c r="E48" s="15" t="s">
        <v>1843</v>
      </c>
      <c r="F48" s="15" t="s">
        <v>1844</v>
      </c>
      <c r="G48" s="8"/>
      <c r="H48" s="8"/>
      <c r="I48" s="8"/>
      <c r="J48" s="8"/>
      <c r="K48" s="8"/>
      <c r="L48" s="8"/>
      <c r="M48" s="8"/>
      <c r="N48" s="8"/>
      <c r="O48" s="8"/>
      <c r="P48" s="8"/>
      <c r="Q48" s="8"/>
      <c r="R48" s="8"/>
      <c r="S48" s="8"/>
      <c r="T48" s="8"/>
      <c r="U48" s="8"/>
      <c r="V48" s="8"/>
      <c r="W48" s="8"/>
      <c r="X48" s="8"/>
      <c r="Y48" s="8"/>
      <c r="Z48" s="8"/>
      <c r="AA48" s="8"/>
    </row>
    <row r="49" ht="63" customHeight="1" spans="1:27" x14ac:dyDescent="0.25">
      <c r="A49" s="13"/>
      <c r="B49" s="14" t="s">
        <v>1840</v>
      </c>
      <c r="C49" s="14" t="s">
        <v>1845</v>
      </c>
      <c r="D49" s="15" t="s">
        <v>1846</v>
      </c>
      <c r="E49" s="15" t="s">
        <v>1847</v>
      </c>
      <c r="F49" s="15" t="s">
        <v>1847</v>
      </c>
      <c r="G49" s="8"/>
      <c r="H49" s="8"/>
      <c r="I49" s="8"/>
      <c r="J49" s="8"/>
      <c r="K49" s="8"/>
      <c r="L49" s="8"/>
      <c r="M49" s="8"/>
      <c r="N49" s="8"/>
      <c r="O49" s="8"/>
      <c r="P49" s="8"/>
      <c r="Q49" s="8"/>
      <c r="R49" s="8"/>
      <c r="S49" s="8"/>
      <c r="T49" s="8"/>
      <c r="U49" s="8"/>
      <c r="V49" s="8"/>
      <c r="W49" s="8"/>
      <c r="X49" s="8"/>
      <c r="Y49" s="8"/>
      <c r="Z49" s="8"/>
      <c r="AA49" s="8"/>
    </row>
    <row r="50" ht="25.5" customHeight="1" spans="1:27" x14ac:dyDescent="0.25">
      <c r="A50" s="13"/>
      <c r="B50" s="14" t="s">
        <v>1840</v>
      </c>
      <c r="C50" s="14" t="s">
        <v>1848</v>
      </c>
      <c r="D50" s="16"/>
      <c r="E50" s="16"/>
      <c r="F50" s="16"/>
      <c r="G50" s="8"/>
      <c r="H50" s="8"/>
      <c r="I50" s="8"/>
      <c r="J50" s="8"/>
      <c r="K50" s="8"/>
      <c r="L50" s="8"/>
      <c r="M50" s="8"/>
      <c r="N50" s="8"/>
      <c r="O50" s="8"/>
      <c r="P50" s="8"/>
      <c r="Q50" s="8"/>
      <c r="R50" s="8"/>
      <c r="S50" s="8"/>
      <c r="T50" s="8"/>
      <c r="U50" s="8"/>
      <c r="V50" s="8"/>
      <c r="W50" s="8"/>
      <c r="X50" s="8"/>
      <c r="Y50" s="8"/>
      <c r="Z50" s="8"/>
      <c r="AA50" s="8"/>
    </row>
    <row r="51" ht="25.5" customHeight="1" spans="1:27" x14ac:dyDescent="0.25">
      <c r="A51" s="13"/>
      <c r="B51" s="14" t="s">
        <v>1840</v>
      </c>
      <c r="C51" s="14" t="s">
        <v>1849</v>
      </c>
      <c r="D51" s="16"/>
      <c r="E51" s="16"/>
      <c r="F51" s="16"/>
      <c r="G51" s="8"/>
      <c r="H51" s="8"/>
      <c r="I51" s="8"/>
      <c r="J51" s="8"/>
      <c r="K51" s="8"/>
      <c r="L51" s="8"/>
      <c r="M51" s="8"/>
      <c r="N51" s="8"/>
      <c r="O51" s="8"/>
      <c r="P51" s="8"/>
      <c r="Q51" s="8"/>
      <c r="R51" s="8"/>
      <c r="S51" s="8"/>
      <c r="T51" s="8"/>
      <c r="U51" s="8"/>
      <c r="V51" s="8"/>
      <c r="W51" s="8"/>
      <c r="X51" s="8"/>
      <c r="Y51" s="8"/>
      <c r="Z51" s="8"/>
      <c r="AA51" s="8"/>
    </row>
    <row r="52" ht="25.5" customHeight="1" spans="1:27" x14ac:dyDescent="0.25">
      <c r="A52" s="13"/>
      <c r="B52" s="14" t="s">
        <v>257</v>
      </c>
      <c r="C52" s="14" t="s">
        <v>1850</v>
      </c>
      <c r="D52" s="16"/>
      <c r="E52" s="16"/>
      <c r="F52" s="16"/>
      <c r="G52" s="8"/>
      <c r="H52" s="8"/>
      <c r="I52" s="8"/>
      <c r="J52" s="8"/>
      <c r="K52" s="8"/>
      <c r="L52" s="8"/>
      <c r="M52" s="8"/>
      <c r="N52" s="8"/>
      <c r="O52" s="8"/>
      <c r="P52" s="8"/>
      <c r="Q52" s="8"/>
      <c r="R52" s="8"/>
      <c r="S52" s="8"/>
      <c r="T52" s="8"/>
      <c r="U52" s="8"/>
      <c r="V52" s="8"/>
      <c r="W52" s="8"/>
      <c r="X52" s="8"/>
      <c r="Y52" s="8"/>
      <c r="Z52" s="8"/>
      <c r="AA52" s="8"/>
    </row>
    <row r="53" ht="37.5" customHeight="1" spans="1:27" x14ac:dyDescent="0.25">
      <c r="A53" s="13"/>
      <c r="B53" s="14" t="s">
        <v>257</v>
      </c>
      <c r="C53" s="14" t="s">
        <v>1756</v>
      </c>
      <c r="D53" s="15" t="s">
        <v>1851</v>
      </c>
      <c r="E53" s="16"/>
      <c r="F53" s="16"/>
      <c r="G53" s="8"/>
      <c r="H53" s="8"/>
      <c r="I53" s="8"/>
      <c r="J53" s="8"/>
      <c r="K53" s="8"/>
      <c r="L53" s="8"/>
      <c r="M53" s="8"/>
      <c r="N53" s="8"/>
      <c r="O53" s="8"/>
      <c r="P53" s="8"/>
      <c r="Q53" s="8"/>
      <c r="R53" s="8"/>
      <c r="S53" s="8"/>
      <c r="T53" s="8"/>
      <c r="U53" s="8"/>
      <c r="V53" s="8"/>
      <c r="W53" s="8"/>
      <c r="X53" s="8"/>
      <c r="Y53" s="8"/>
      <c r="Z53" s="8"/>
      <c r="AA53" s="8"/>
    </row>
    <row r="54" ht="100.5" customHeight="1" spans="1:27" x14ac:dyDescent="0.25">
      <c r="A54" s="13"/>
      <c r="B54" s="14" t="s">
        <v>257</v>
      </c>
      <c r="C54" s="14" t="s">
        <v>1852</v>
      </c>
      <c r="D54" s="15" t="s">
        <v>1853</v>
      </c>
      <c r="E54" s="16"/>
      <c r="F54" s="15" t="s">
        <v>1854</v>
      </c>
      <c r="G54" s="8"/>
      <c r="H54" s="8"/>
      <c r="I54" s="8"/>
      <c r="J54" s="8"/>
      <c r="K54" s="8"/>
      <c r="L54" s="8"/>
      <c r="M54" s="8"/>
      <c r="N54" s="8"/>
      <c r="O54" s="8"/>
      <c r="P54" s="8"/>
      <c r="Q54" s="8"/>
      <c r="R54" s="8"/>
      <c r="S54" s="8"/>
      <c r="T54" s="8"/>
      <c r="U54" s="8"/>
      <c r="V54" s="8"/>
      <c r="W54" s="8"/>
      <c r="X54" s="8"/>
      <c r="Y54" s="8"/>
      <c r="Z54" s="8"/>
      <c r="AA54" s="8"/>
    </row>
    <row r="55" ht="25.5" customHeight="1" spans="1:27" x14ac:dyDescent="0.25">
      <c r="A55" s="13"/>
      <c r="B55" s="14" t="s">
        <v>257</v>
      </c>
      <c r="C55" s="14" t="s">
        <v>1855</v>
      </c>
      <c r="D55" s="16"/>
      <c r="E55" s="16"/>
      <c r="F55" s="16"/>
      <c r="G55" s="8"/>
      <c r="H55" s="8"/>
      <c r="I55" s="8"/>
      <c r="J55" s="8"/>
      <c r="K55" s="8"/>
      <c r="L55" s="8"/>
      <c r="M55" s="8"/>
      <c r="N55" s="8"/>
      <c r="O55" s="8"/>
      <c r="P55" s="8"/>
      <c r="Q55" s="8"/>
      <c r="R55" s="8"/>
      <c r="S55" s="8"/>
      <c r="T55" s="8"/>
      <c r="U55" s="8"/>
      <c r="V55" s="8"/>
      <c r="W55" s="8"/>
      <c r="X55" s="8"/>
      <c r="Y55" s="8"/>
      <c r="Z55" s="8"/>
      <c r="AA55" s="8"/>
    </row>
    <row r="56" ht="37.5" customHeight="1" spans="1:27" x14ac:dyDescent="0.25">
      <c r="A56" s="13"/>
      <c r="B56" s="14" t="s">
        <v>1856</v>
      </c>
      <c r="C56" s="14" t="s">
        <v>1756</v>
      </c>
      <c r="D56" s="15" t="s">
        <v>1857</v>
      </c>
      <c r="E56" s="16"/>
      <c r="F56" s="16"/>
      <c r="G56" s="8"/>
      <c r="H56" s="8"/>
      <c r="I56" s="8"/>
      <c r="J56" s="8"/>
      <c r="K56" s="8"/>
      <c r="L56" s="8"/>
      <c r="M56" s="8"/>
      <c r="N56" s="8"/>
      <c r="O56" s="8"/>
      <c r="P56" s="8"/>
      <c r="Q56" s="8"/>
      <c r="R56" s="8"/>
      <c r="S56" s="8"/>
      <c r="T56" s="8"/>
      <c r="U56" s="8"/>
      <c r="V56" s="8"/>
      <c r="W56" s="8"/>
      <c r="X56" s="8"/>
      <c r="Y56" s="8"/>
      <c r="Z56" s="8"/>
      <c r="AA56" s="8"/>
    </row>
    <row r="57" ht="63" customHeight="1" spans="1:27" x14ac:dyDescent="0.25">
      <c r="A57" s="13"/>
      <c r="B57" s="14" t="s">
        <v>1856</v>
      </c>
      <c r="C57" s="14" t="s">
        <v>1852</v>
      </c>
      <c r="D57" s="15" t="s">
        <v>1858</v>
      </c>
      <c r="E57" s="16"/>
      <c r="F57" s="16"/>
      <c r="G57" s="8"/>
      <c r="H57" s="8"/>
      <c r="I57" s="8"/>
      <c r="J57" s="8"/>
      <c r="K57" s="8"/>
      <c r="L57" s="8"/>
      <c r="M57" s="8"/>
      <c r="N57" s="8"/>
      <c r="O57" s="8"/>
      <c r="P57" s="8"/>
      <c r="Q57" s="8"/>
      <c r="R57" s="8"/>
      <c r="S57" s="8"/>
      <c r="T57" s="8"/>
      <c r="U57" s="8"/>
      <c r="V57" s="8"/>
      <c r="W57" s="8"/>
      <c r="X57" s="8"/>
      <c r="Y57" s="8"/>
      <c r="Z57" s="8"/>
      <c r="AA57" s="8"/>
    </row>
    <row r="58" ht="187.5" customHeight="1" spans="1:27" x14ac:dyDescent="0.25">
      <c r="A58" s="13"/>
      <c r="B58" s="14" t="s">
        <v>1856</v>
      </c>
      <c r="C58" s="14" t="s">
        <v>1859</v>
      </c>
      <c r="D58" s="15" t="s">
        <v>1860</v>
      </c>
      <c r="E58" s="15" t="s">
        <v>1861</v>
      </c>
      <c r="F58" s="16"/>
      <c r="G58" s="8"/>
      <c r="H58" s="8"/>
      <c r="I58" s="8"/>
      <c r="J58" s="8"/>
      <c r="K58" s="8"/>
      <c r="L58" s="8"/>
      <c r="M58" s="8"/>
      <c r="N58" s="8"/>
      <c r="O58" s="8"/>
      <c r="P58" s="8"/>
      <c r="Q58" s="8"/>
      <c r="R58" s="8"/>
      <c r="S58" s="8"/>
      <c r="T58" s="8"/>
      <c r="U58" s="8"/>
      <c r="V58" s="8"/>
      <c r="W58" s="8"/>
      <c r="X58" s="8"/>
      <c r="Y58" s="8"/>
      <c r="Z58" s="8"/>
      <c r="AA58" s="8"/>
    </row>
    <row r="59" ht="63" customHeight="1" spans="1:27" x14ac:dyDescent="0.25">
      <c r="A59" s="13"/>
      <c r="B59" s="14" t="s">
        <v>1862</v>
      </c>
      <c r="C59" s="14" t="s">
        <v>1863</v>
      </c>
      <c r="D59" s="15" t="s">
        <v>1864</v>
      </c>
      <c r="E59" s="15" t="s">
        <v>1865</v>
      </c>
      <c r="F59" s="15" t="s">
        <v>1866</v>
      </c>
      <c r="G59" s="8"/>
      <c r="H59" s="8"/>
      <c r="I59" s="8"/>
      <c r="J59" s="8"/>
      <c r="K59" s="8"/>
      <c r="L59" s="8"/>
      <c r="M59" s="8"/>
      <c r="N59" s="8"/>
      <c r="O59" s="8"/>
      <c r="P59" s="8"/>
      <c r="Q59" s="8"/>
      <c r="R59" s="8"/>
      <c r="S59" s="8"/>
      <c r="T59" s="8"/>
      <c r="U59" s="8"/>
      <c r="V59" s="8"/>
      <c r="W59" s="8"/>
      <c r="X59" s="8"/>
      <c r="Y59" s="8"/>
      <c r="Z59" s="8"/>
      <c r="AA59" s="8"/>
    </row>
    <row r="60" ht="112.5" customHeight="1" spans="1:27" x14ac:dyDescent="0.25">
      <c r="A60" s="13"/>
      <c r="B60" s="14" t="s">
        <v>1862</v>
      </c>
      <c r="C60" s="14" t="s">
        <v>1867</v>
      </c>
      <c r="D60" s="15" t="s">
        <v>1868</v>
      </c>
      <c r="E60" s="15" t="s">
        <v>1869</v>
      </c>
      <c r="F60" s="15" t="s">
        <v>1870</v>
      </c>
      <c r="G60" s="8"/>
      <c r="H60" s="8"/>
      <c r="I60" s="8"/>
      <c r="J60" s="8"/>
      <c r="K60" s="8"/>
      <c r="L60" s="8"/>
      <c r="M60" s="8"/>
      <c r="N60" s="8"/>
      <c r="O60" s="8"/>
      <c r="P60" s="8"/>
      <c r="Q60" s="8"/>
      <c r="R60" s="8"/>
      <c r="S60" s="8"/>
      <c r="T60" s="8"/>
      <c r="U60" s="8"/>
      <c r="V60" s="8"/>
      <c r="W60" s="8"/>
      <c r="X60" s="8"/>
      <c r="Y60" s="8"/>
      <c r="Z60" s="8"/>
      <c r="AA60" s="8"/>
    </row>
    <row r="61" ht="100.5" customHeight="1" spans="1:27" x14ac:dyDescent="0.25">
      <c r="A61" s="13"/>
      <c r="B61" s="14" t="s">
        <v>1862</v>
      </c>
      <c r="C61" s="14" t="s">
        <v>1871</v>
      </c>
      <c r="D61" s="15" t="s">
        <v>1872</v>
      </c>
      <c r="E61" s="16"/>
      <c r="F61" s="16"/>
      <c r="G61" s="8"/>
      <c r="H61" s="8"/>
      <c r="I61" s="8"/>
      <c r="J61" s="8"/>
      <c r="K61" s="8"/>
      <c r="L61" s="8"/>
      <c r="M61" s="8"/>
      <c r="N61" s="8"/>
      <c r="O61" s="8"/>
      <c r="P61" s="8"/>
      <c r="Q61" s="8"/>
      <c r="R61" s="8"/>
      <c r="S61" s="8"/>
      <c r="T61" s="8"/>
      <c r="U61" s="8"/>
      <c r="V61" s="8"/>
      <c r="W61" s="8"/>
      <c r="X61" s="8"/>
      <c r="Y61" s="8"/>
      <c r="Z61" s="8"/>
      <c r="AA61" s="8"/>
    </row>
    <row r="62" ht="87.75" customHeight="1" spans="1:27" x14ac:dyDescent="0.25">
      <c r="A62" s="13"/>
      <c r="B62" s="14" t="s">
        <v>1862</v>
      </c>
      <c r="C62" s="14" t="s">
        <v>1823</v>
      </c>
      <c r="D62" s="15" t="s">
        <v>1795</v>
      </c>
      <c r="E62" s="15" t="s">
        <v>1873</v>
      </c>
      <c r="F62" s="15" t="s">
        <v>1755</v>
      </c>
      <c r="G62" s="8"/>
      <c r="H62" s="8"/>
      <c r="I62" s="8"/>
      <c r="J62" s="8"/>
      <c r="K62" s="8"/>
      <c r="L62" s="8"/>
      <c r="M62" s="8"/>
      <c r="N62" s="8"/>
      <c r="O62" s="8"/>
      <c r="P62" s="8"/>
      <c r="Q62" s="8"/>
      <c r="R62" s="8"/>
      <c r="S62" s="8"/>
      <c r="T62" s="8"/>
      <c r="U62" s="8"/>
      <c r="V62" s="8"/>
      <c r="W62" s="8"/>
      <c r="X62" s="8"/>
      <c r="Y62" s="8"/>
      <c r="Z62" s="8"/>
      <c r="AA62" s="8"/>
    </row>
    <row r="63" ht="37.5" customHeight="1" spans="1:27" x14ac:dyDescent="0.25">
      <c r="A63" s="13"/>
      <c r="B63" s="14" t="s">
        <v>1862</v>
      </c>
      <c r="C63" s="14" t="s">
        <v>1874</v>
      </c>
      <c r="D63" s="16"/>
      <c r="E63" s="15" t="s">
        <v>1875</v>
      </c>
      <c r="F63" s="15" t="s">
        <v>1755</v>
      </c>
      <c r="G63" s="8"/>
      <c r="H63" s="8"/>
      <c r="I63" s="8"/>
      <c r="J63" s="8"/>
      <c r="K63" s="8"/>
      <c r="L63" s="8"/>
      <c r="M63" s="8"/>
      <c r="N63" s="8"/>
      <c r="O63" s="8"/>
      <c r="P63" s="8"/>
      <c r="Q63" s="8"/>
      <c r="R63" s="8"/>
      <c r="S63" s="8"/>
      <c r="T63" s="8"/>
      <c r="U63" s="8"/>
      <c r="V63" s="8"/>
      <c r="W63" s="8"/>
      <c r="X63" s="8"/>
      <c r="Y63" s="8"/>
      <c r="Z63" s="8"/>
      <c r="AA63" s="8"/>
    </row>
    <row r="64" ht="37.5" customHeight="1" spans="1:27" x14ac:dyDescent="0.25">
      <c r="A64" s="13"/>
      <c r="B64" s="14" t="s">
        <v>1862</v>
      </c>
      <c r="C64" s="14" t="s">
        <v>1876</v>
      </c>
      <c r="D64" s="16"/>
      <c r="E64" s="16"/>
      <c r="F64" s="16"/>
      <c r="G64" s="8"/>
      <c r="H64" s="8"/>
      <c r="I64" s="8"/>
      <c r="J64" s="8"/>
      <c r="K64" s="8"/>
      <c r="L64" s="8"/>
      <c r="M64" s="8"/>
      <c r="N64" s="8"/>
      <c r="O64" s="8"/>
      <c r="P64" s="8"/>
      <c r="Q64" s="8"/>
      <c r="R64" s="8"/>
      <c r="S64" s="8"/>
      <c r="T64" s="8"/>
      <c r="U64" s="8"/>
      <c r="V64" s="8"/>
      <c r="W64" s="8"/>
      <c r="X64" s="8"/>
      <c r="Y64" s="8"/>
      <c r="Z64" s="8"/>
      <c r="AA64" s="8"/>
    </row>
    <row r="65" ht="87.75" customHeight="1" spans="1:27" x14ac:dyDescent="0.25">
      <c r="A65" s="13"/>
      <c r="B65" s="14" t="s">
        <v>1862</v>
      </c>
      <c r="C65" s="14" t="s">
        <v>1877</v>
      </c>
      <c r="D65" s="15" t="s">
        <v>1878</v>
      </c>
      <c r="E65" s="16"/>
      <c r="F65" s="16"/>
      <c r="G65" s="8"/>
      <c r="H65" s="8"/>
      <c r="I65" s="8"/>
      <c r="J65" s="8"/>
      <c r="K65" s="8"/>
      <c r="L65" s="8"/>
      <c r="M65" s="8"/>
      <c r="N65" s="8"/>
      <c r="O65" s="8"/>
      <c r="P65" s="8"/>
      <c r="Q65" s="8"/>
      <c r="R65" s="8"/>
      <c r="S65" s="8"/>
      <c r="T65" s="8"/>
      <c r="U65" s="8"/>
      <c r="V65" s="8"/>
      <c r="W65" s="8"/>
      <c r="X65" s="8"/>
      <c r="Y65" s="8"/>
      <c r="Z65" s="8"/>
      <c r="AA65" s="8"/>
    </row>
    <row r="66" ht="37.5" customHeight="1" spans="1:27" x14ac:dyDescent="0.25">
      <c r="A66" s="13"/>
      <c r="B66" s="14" t="s">
        <v>1862</v>
      </c>
      <c r="C66" s="14" t="s">
        <v>1879</v>
      </c>
      <c r="D66" s="15" t="s">
        <v>1880</v>
      </c>
      <c r="E66" s="16"/>
      <c r="F66" s="15" t="s">
        <v>1881</v>
      </c>
      <c r="G66" s="8"/>
      <c r="H66" s="8"/>
      <c r="I66" s="8"/>
      <c r="J66" s="8"/>
      <c r="K66" s="8"/>
      <c r="L66" s="8"/>
      <c r="M66" s="8"/>
      <c r="N66" s="8"/>
      <c r="O66" s="8"/>
      <c r="P66" s="8"/>
      <c r="Q66" s="8"/>
      <c r="R66" s="8"/>
      <c r="S66" s="8"/>
      <c r="T66" s="8"/>
      <c r="U66" s="8"/>
      <c r="V66" s="8"/>
      <c r="W66" s="8"/>
      <c r="X66" s="8"/>
      <c r="Y66" s="8"/>
      <c r="Z66" s="8"/>
      <c r="AA66" s="8"/>
    </row>
    <row r="67" ht="37.5" customHeight="1" spans="1:27" x14ac:dyDescent="0.25">
      <c r="A67" s="13"/>
      <c r="B67" s="14" t="s">
        <v>1882</v>
      </c>
      <c r="C67" s="14" t="s">
        <v>1883</v>
      </c>
      <c r="D67" s="19">
        <v>0.16666666666787933</v>
      </c>
      <c r="E67" s="16"/>
      <c r="F67" s="19">
        <v>0.16666666666787933</v>
      </c>
      <c r="G67" s="8"/>
      <c r="H67" s="8"/>
      <c r="I67" s="8"/>
      <c r="J67" s="8"/>
      <c r="K67" s="8"/>
      <c r="L67" s="8"/>
      <c r="M67" s="8"/>
      <c r="N67" s="8"/>
      <c r="O67" s="8"/>
      <c r="P67" s="8"/>
      <c r="Q67" s="8"/>
      <c r="R67" s="8"/>
      <c r="S67" s="8"/>
      <c r="T67" s="8"/>
      <c r="U67" s="8"/>
      <c r="V67" s="8"/>
      <c r="W67" s="8"/>
      <c r="X67" s="8"/>
      <c r="Y67" s="8"/>
      <c r="Z67" s="8"/>
      <c r="AA67" s="8"/>
    </row>
    <row r="68" ht="50.25" customHeight="1" spans="1:27" x14ac:dyDescent="0.25">
      <c r="A68" s="13"/>
      <c r="B68" s="16" t="s">
        <v>1882</v>
      </c>
      <c r="C68" s="16" t="s">
        <v>1884</v>
      </c>
      <c r="D68" s="20">
        <v>0.95</v>
      </c>
      <c r="E68" s="20">
        <v>0.99</v>
      </c>
      <c r="F68" s="16"/>
      <c r="G68" s="8"/>
      <c r="H68" s="8"/>
      <c r="I68" s="8"/>
      <c r="J68" s="8"/>
      <c r="K68" s="8"/>
      <c r="L68" s="8"/>
      <c r="M68" s="8"/>
      <c r="N68" s="8"/>
      <c r="O68" s="8"/>
      <c r="P68" s="8"/>
      <c r="Q68" s="8"/>
      <c r="R68" s="8"/>
      <c r="S68" s="8"/>
      <c r="T68" s="8"/>
      <c r="U68" s="8"/>
      <c r="V68" s="8"/>
      <c r="W68" s="8"/>
      <c r="X68" s="8"/>
      <c r="Y68" s="8"/>
      <c r="Z68" s="8"/>
      <c r="AA68" s="8"/>
    </row>
    <row r="69" ht="50.25" customHeight="1" spans="1:27" x14ac:dyDescent="0.25">
      <c r="A69" s="13"/>
      <c r="B69" s="16" t="s">
        <v>1882</v>
      </c>
      <c r="C69" s="16" t="s">
        <v>1885</v>
      </c>
      <c r="D69" s="20">
        <v>0.02</v>
      </c>
      <c r="E69" s="16"/>
      <c r="F69" s="16"/>
      <c r="G69" s="8"/>
      <c r="H69" s="8"/>
      <c r="I69" s="8"/>
      <c r="J69" s="8"/>
      <c r="K69" s="8"/>
      <c r="L69" s="8"/>
      <c r="M69" s="8"/>
      <c r="N69" s="8"/>
      <c r="O69" s="8"/>
      <c r="P69" s="8"/>
      <c r="Q69" s="8"/>
      <c r="R69" s="8"/>
      <c r="S69" s="8"/>
      <c r="T69" s="8"/>
      <c r="U69" s="8"/>
      <c r="V69" s="8"/>
      <c r="W69" s="8"/>
      <c r="X69" s="8"/>
      <c r="Y69" s="8"/>
      <c r="Z69" s="8"/>
      <c r="AA69" s="8"/>
    </row>
    <row r="70" ht="37.5" customHeight="1" spans="1:27" x14ac:dyDescent="0.25">
      <c r="A70" s="13"/>
      <c r="B70" s="16" t="s">
        <v>1882</v>
      </c>
      <c r="C70" s="16" t="s">
        <v>1886</v>
      </c>
      <c r="D70" s="15" t="s">
        <v>1887</v>
      </c>
      <c r="E70" s="16"/>
      <c r="F70" s="16"/>
      <c r="G70" s="8"/>
      <c r="H70" s="8"/>
      <c r="I70" s="8"/>
      <c r="J70" s="8"/>
      <c r="K70" s="8"/>
      <c r="L70" s="8"/>
      <c r="M70" s="8"/>
      <c r="N70" s="8"/>
      <c r="O70" s="8"/>
      <c r="P70" s="8"/>
      <c r="Q70" s="8"/>
      <c r="R70" s="8"/>
      <c r="S70" s="8"/>
      <c r="T70" s="8"/>
      <c r="U70" s="8"/>
      <c r="V70" s="8"/>
      <c r="W70" s="8"/>
      <c r="X70" s="8"/>
      <c r="Y70" s="8"/>
      <c r="Z70" s="8"/>
      <c r="AA70" s="8"/>
    </row>
    <row r="71" ht="15" customHeight="1" spans="1:27" x14ac:dyDescent="0.25">
      <c r="A71" s="13"/>
      <c r="B71" s="16" t="s">
        <v>1888</v>
      </c>
      <c r="C71" s="16"/>
      <c r="D71" s="16"/>
      <c r="E71" s="16"/>
      <c r="F71" s="16"/>
      <c r="G71" s="8"/>
      <c r="H71" s="8"/>
      <c r="I71" s="8"/>
      <c r="J71" s="8"/>
      <c r="K71" s="8"/>
      <c r="L71" s="8"/>
      <c r="M71" s="8"/>
      <c r="N71" s="8"/>
      <c r="O71" s="8"/>
      <c r="P71" s="8"/>
      <c r="Q71" s="8"/>
      <c r="R71" s="8"/>
      <c r="S71" s="8"/>
      <c r="T71" s="8"/>
      <c r="U71" s="8"/>
      <c r="V71" s="8"/>
      <c r="W71" s="8"/>
      <c r="X71" s="8"/>
      <c r="Y71" s="8"/>
      <c r="Z71" s="8"/>
      <c r="AA71" s="8"/>
    </row>
    <row r="72" ht="25.5" customHeight="1" spans="1:27" x14ac:dyDescent="0.25">
      <c r="A72" s="13"/>
      <c r="B72" s="16" t="s">
        <v>1889</v>
      </c>
      <c r="C72" s="16"/>
      <c r="D72" s="16"/>
      <c r="E72" s="15">
        <v>5000</v>
      </c>
      <c r="F72" s="16"/>
      <c r="G72" s="8"/>
      <c r="H72" s="8"/>
      <c r="I72" s="8"/>
      <c r="J72" s="8"/>
      <c r="K72" s="8"/>
      <c r="L72" s="8"/>
      <c r="M72" s="8"/>
      <c r="N72" s="8"/>
      <c r="O72" s="8"/>
      <c r="P72" s="8"/>
      <c r="Q72" s="8"/>
      <c r="R72" s="8"/>
      <c r="S72" s="8"/>
      <c r="T72" s="8"/>
      <c r="U72" s="8"/>
      <c r="V72" s="8"/>
      <c r="W72" s="8"/>
      <c r="X72" s="8"/>
      <c r="Y72" s="8"/>
      <c r="Z72" s="8"/>
      <c r="AA72" s="8"/>
    </row>
    <row r="73" ht="25.5" customHeight="1" spans="1:27" x14ac:dyDescent="0.25">
      <c r="A73" s="13"/>
      <c r="B73" s="16" t="s">
        <v>1890</v>
      </c>
      <c r="C73" s="16"/>
      <c r="D73" s="16"/>
      <c r="E73" s="15">
        <v>2000</v>
      </c>
      <c r="F73" s="16"/>
      <c r="G73" s="8"/>
      <c r="H73" s="8"/>
      <c r="I73" s="8"/>
      <c r="J73" s="8"/>
      <c r="K73" s="8"/>
      <c r="L73" s="8"/>
      <c r="M73" s="8"/>
      <c r="N73" s="8"/>
      <c r="O73" s="8"/>
      <c r="P73" s="8"/>
      <c r="Q73" s="8"/>
      <c r="R73" s="8"/>
      <c r="S73" s="8"/>
      <c r="T73" s="8"/>
      <c r="U73" s="8"/>
      <c r="V73" s="8"/>
      <c r="W73" s="8"/>
      <c r="X73" s="8"/>
      <c r="Y73" s="8"/>
      <c r="Z73" s="8"/>
      <c r="AA73" s="8"/>
    </row>
    <row r="74" ht="25.5" customHeight="1" spans="1:27" x14ac:dyDescent="0.25">
      <c r="A74" s="13"/>
      <c r="B74" s="16" t="s">
        <v>1891</v>
      </c>
      <c r="C74" s="16"/>
      <c r="D74" s="16"/>
      <c r="E74" s="16"/>
      <c r="F74" s="16"/>
      <c r="G74" s="8"/>
      <c r="H74" s="8"/>
      <c r="I74" s="8"/>
      <c r="J74" s="8"/>
      <c r="K74" s="8"/>
      <c r="L74" s="8"/>
      <c r="M74" s="8"/>
      <c r="N74" s="8"/>
      <c r="O74" s="8"/>
      <c r="P74" s="8"/>
      <c r="Q74" s="8"/>
      <c r="R74" s="8"/>
      <c r="S74" s="8"/>
      <c r="T74" s="8"/>
      <c r="U74" s="8"/>
      <c r="V74" s="8"/>
      <c r="W74" s="8"/>
      <c r="X74" s="8"/>
      <c r="Y74" s="8"/>
      <c r="Z74" s="8"/>
      <c r="AA74" s="8"/>
    </row>
    <row r="75" ht="37.5" customHeight="1" spans="1:27" x14ac:dyDescent="0.25">
      <c r="A75" s="13"/>
      <c r="B75" s="16" t="s">
        <v>1892</v>
      </c>
      <c r="C75" s="16"/>
      <c r="D75" s="16"/>
      <c r="E75" s="16"/>
      <c r="F75" s="16"/>
      <c r="G75" s="8"/>
      <c r="H75" s="8"/>
      <c r="I75" s="8"/>
      <c r="J75" s="8"/>
      <c r="K75" s="8"/>
      <c r="L75" s="8"/>
      <c r="M75" s="8"/>
      <c r="N75" s="8"/>
      <c r="O75" s="8"/>
      <c r="P75" s="8"/>
      <c r="Q75" s="8"/>
      <c r="R75" s="8"/>
      <c r="S75" s="8"/>
      <c r="T75" s="8"/>
      <c r="U75" s="8"/>
      <c r="V75" s="8"/>
      <c r="W75" s="8"/>
      <c r="X75" s="8"/>
      <c r="Y75" s="8"/>
      <c r="Z75" s="8"/>
      <c r="AA75" s="8"/>
    </row>
    <row r="76" ht="37.5" customHeight="1" spans="1:27" x14ac:dyDescent="0.25">
      <c r="A76" s="13"/>
      <c r="B76" s="16" t="s">
        <v>1893</v>
      </c>
      <c r="C76" s="16"/>
      <c r="D76" s="16"/>
      <c r="E76" s="16"/>
      <c r="F76" s="16"/>
      <c r="G76" s="8"/>
      <c r="H76" s="8"/>
      <c r="I76" s="8"/>
      <c r="J76" s="8"/>
      <c r="K76" s="8"/>
      <c r="L76" s="8"/>
      <c r="M76" s="8"/>
      <c r="N76" s="8"/>
      <c r="O76" s="8"/>
      <c r="P76" s="8"/>
      <c r="Q76" s="8"/>
      <c r="R76" s="8"/>
      <c r="S76" s="8"/>
      <c r="T76" s="8"/>
      <c r="U76" s="8"/>
      <c r="V76" s="8"/>
      <c r="W76" s="8"/>
      <c r="X76" s="8"/>
      <c r="Y76" s="8"/>
      <c r="Z76" s="8"/>
      <c r="AA76" s="8"/>
    </row>
    <row r="77" ht="37.5" customHeight="1" spans="1:27" x14ac:dyDescent="0.25">
      <c r="A77" s="13"/>
      <c r="B77" s="16" t="s">
        <v>1894</v>
      </c>
      <c r="C77" s="16"/>
      <c r="D77" s="16"/>
      <c r="E77" s="16"/>
      <c r="F77" s="16"/>
      <c r="G77" s="8"/>
      <c r="H77" s="8"/>
      <c r="I77" s="8"/>
      <c r="J77" s="8"/>
      <c r="K77" s="8"/>
      <c r="L77" s="8"/>
      <c r="M77" s="8"/>
      <c r="N77" s="8"/>
      <c r="O77" s="8"/>
      <c r="P77" s="8"/>
      <c r="Q77" s="8"/>
      <c r="R77" s="8"/>
      <c r="S77" s="8"/>
      <c r="T77" s="8"/>
      <c r="U77" s="8"/>
      <c r="V77" s="8"/>
      <c r="W77" s="8"/>
      <c r="X77" s="8"/>
      <c r="Y77" s="8"/>
      <c r="Z77" s="8"/>
      <c r="AA77" s="8"/>
    </row>
    <row r="78" ht="37.5" customHeight="1" spans="1:27" x14ac:dyDescent="0.25">
      <c r="A78" s="13"/>
      <c r="B78" s="16" t="s">
        <v>1895</v>
      </c>
      <c r="C78" s="16"/>
      <c r="D78" s="16"/>
      <c r="E78" s="16"/>
      <c r="F78" s="16"/>
      <c r="G78" s="8"/>
      <c r="H78" s="8"/>
      <c r="I78" s="8"/>
      <c r="J78" s="8"/>
      <c r="K78" s="8"/>
      <c r="L78" s="8"/>
      <c r="M78" s="8"/>
      <c r="N78" s="8"/>
      <c r="O78" s="8"/>
      <c r="P78" s="8"/>
      <c r="Q78" s="8"/>
      <c r="R78" s="8"/>
      <c r="S78" s="8"/>
      <c r="T78" s="8"/>
      <c r="U78" s="8"/>
      <c r="V78" s="8"/>
      <c r="W78" s="8"/>
      <c r="X78" s="8"/>
      <c r="Y78" s="8"/>
      <c r="Z78" s="8"/>
      <c r="AA78" s="8"/>
    </row>
    <row r="79" ht="15" customHeight="1" spans="1:27" x14ac:dyDescent="0.25">
      <c r="A79" s="13"/>
      <c r="B79" s="16" t="s">
        <v>1896</v>
      </c>
      <c r="C79" s="16"/>
      <c r="D79" s="16"/>
      <c r="E79" s="16"/>
      <c r="F79" s="16"/>
      <c r="G79" s="8"/>
      <c r="H79" s="8"/>
      <c r="I79" s="8"/>
      <c r="J79" s="8"/>
      <c r="K79" s="8"/>
      <c r="L79" s="8"/>
      <c r="M79" s="8"/>
      <c r="N79" s="8"/>
      <c r="O79" s="8"/>
      <c r="P79" s="8"/>
      <c r="Q79" s="8"/>
      <c r="R79" s="8"/>
      <c r="S79" s="8"/>
      <c r="T79" s="8"/>
      <c r="U79" s="8"/>
      <c r="V79" s="8"/>
      <c r="W79" s="8"/>
      <c r="X79" s="8"/>
      <c r="Y79" s="8"/>
      <c r="Z79" s="8"/>
      <c r="AA79" s="8"/>
    </row>
    <row r="80" ht="37.5" customHeight="1" spans="1:27" x14ac:dyDescent="0.25">
      <c r="A80" s="13"/>
      <c r="B80" s="16" t="s">
        <v>1897</v>
      </c>
      <c r="C80" s="16"/>
      <c r="D80" s="16"/>
      <c r="E80" s="16"/>
      <c r="F80" s="16"/>
      <c r="G80" s="8"/>
      <c r="H80" s="8"/>
      <c r="I80" s="8"/>
      <c r="J80" s="8"/>
      <c r="K80" s="8"/>
      <c r="L80" s="8"/>
      <c r="M80" s="8"/>
      <c r="N80" s="8"/>
      <c r="O80" s="8"/>
      <c r="P80" s="8"/>
      <c r="Q80" s="8"/>
      <c r="R80" s="8"/>
      <c r="S80" s="8"/>
      <c r="T80" s="8"/>
      <c r="U80" s="8"/>
      <c r="V80" s="8"/>
      <c r="W80" s="8"/>
      <c r="X80" s="8"/>
      <c r="Y80" s="8"/>
      <c r="Z80" s="8"/>
      <c r="AA80" s="8"/>
    </row>
    <row r="81" ht="25.5" customHeight="1" spans="1:27" x14ac:dyDescent="0.25">
      <c r="A81" s="13"/>
      <c r="B81" s="16" t="s">
        <v>1898</v>
      </c>
      <c r="C81" s="16"/>
      <c r="D81" s="16"/>
      <c r="E81" s="16"/>
      <c r="F81" s="16"/>
      <c r="G81" s="8"/>
      <c r="H81" s="8"/>
      <c r="I81" s="8"/>
      <c r="J81" s="8"/>
      <c r="K81" s="8"/>
      <c r="L81" s="8"/>
      <c r="M81" s="8"/>
      <c r="N81" s="8"/>
      <c r="O81" s="8"/>
      <c r="P81" s="8"/>
      <c r="Q81" s="8"/>
      <c r="R81" s="8"/>
      <c r="S81" s="8"/>
      <c r="T81" s="8"/>
      <c r="U81" s="8"/>
      <c r="V81" s="8"/>
      <c r="W81" s="8"/>
      <c r="X81" s="8"/>
      <c r="Y81" s="8"/>
      <c r="Z81" s="8"/>
      <c r="AA81" s="8"/>
    </row>
    <row r="82" ht="25.5" customHeight="1" spans="1:27" x14ac:dyDescent="0.25">
      <c r="A82" s="13"/>
      <c r="B82" s="16" t="s">
        <v>1899</v>
      </c>
      <c r="C82" s="16"/>
      <c r="D82" s="16"/>
      <c r="E82" s="16"/>
      <c r="F82" s="16"/>
      <c r="G82" s="8"/>
      <c r="H82" s="8"/>
      <c r="I82" s="8"/>
      <c r="J82" s="8"/>
      <c r="K82" s="8"/>
      <c r="L82" s="8"/>
      <c r="M82" s="8"/>
      <c r="N82" s="8"/>
      <c r="O82" s="8"/>
      <c r="P82" s="8"/>
      <c r="Q82" s="8"/>
      <c r="R82" s="8"/>
      <c r="S82" s="8"/>
      <c r="T82" s="8"/>
      <c r="U82" s="8"/>
      <c r="V82" s="8"/>
      <c r="W82" s="8"/>
      <c r="X82" s="8"/>
      <c r="Y82" s="8"/>
      <c r="Z82" s="8"/>
      <c r="AA82" s="8"/>
    </row>
    <row r="83" ht="25.5" customHeight="1" spans="1:27" x14ac:dyDescent="0.25">
      <c r="A83" s="13"/>
      <c r="B83" s="16" t="s">
        <v>1900</v>
      </c>
      <c r="C83" s="16"/>
      <c r="D83" s="16"/>
      <c r="E83" s="16"/>
      <c r="F83" s="16"/>
      <c r="G83" s="8"/>
      <c r="H83" s="8"/>
      <c r="I83" s="8"/>
      <c r="J83" s="8"/>
      <c r="K83" s="8"/>
      <c r="L83" s="8"/>
      <c r="M83" s="8"/>
      <c r="N83" s="8"/>
      <c r="O83" s="8"/>
      <c r="P83" s="8"/>
      <c r="Q83" s="8"/>
      <c r="R83" s="8"/>
      <c r="S83" s="8"/>
      <c r="T83" s="8"/>
      <c r="U83" s="8"/>
      <c r="V83" s="8"/>
      <c r="W83" s="8"/>
      <c r="X83" s="8"/>
      <c r="Y83" s="8"/>
      <c r="Z83" s="8"/>
      <c r="AA83" s="8"/>
    </row>
    <row r="84" ht="37.5" customHeight="1" spans="1:27" x14ac:dyDescent="0.25">
      <c r="A84" s="13"/>
      <c r="B84" s="16" t="s">
        <v>1820</v>
      </c>
      <c r="C84" s="16"/>
      <c r="D84" s="16"/>
      <c r="E84" s="16"/>
      <c r="F84" s="16"/>
      <c r="G84" s="8"/>
      <c r="H84" s="8"/>
      <c r="I84" s="8"/>
      <c r="J84" s="8"/>
      <c r="K84" s="8"/>
      <c r="L84" s="8"/>
      <c r="M84" s="8"/>
      <c r="N84" s="8"/>
      <c r="O84" s="8"/>
      <c r="P84" s="8"/>
      <c r="Q84" s="8"/>
      <c r="R84" s="8"/>
      <c r="S84" s="8"/>
      <c r="T84" s="8"/>
      <c r="U84" s="8"/>
      <c r="V84" s="8"/>
      <c r="W84" s="8"/>
      <c r="X84" s="8"/>
      <c r="Y84" s="8"/>
      <c r="Z84" s="8"/>
      <c r="AA84" s="8"/>
    </row>
    <row r="85" ht="25.5" customHeight="1" spans="1:27" x14ac:dyDescent="0.25">
      <c r="A85" s="13"/>
      <c r="B85" s="16" t="s">
        <v>1901</v>
      </c>
      <c r="C85" s="16"/>
      <c r="D85" s="16"/>
      <c r="E85" s="16"/>
      <c r="F85" s="16"/>
      <c r="G85" s="8"/>
      <c r="H85" s="8"/>
      <c r="I85" s="8"/>
      <c r="J85" s="8"/>
      <c r="K85" s="8"/>
      <c r="L85" s="8"/>
      <c r="M85" s="8"/>
      <c r="N85" s="8"/>
      <c r="O85" s="8"/>
      <c r="P85" s="8"/>
      <c r="Q85" s="8"/>
      <c r="R85" s="8"/>
      <c r="S85" s="8"/>
      <c r="T85" s="8"/>
      <c r="U85" s="8"/>
      <c r="V85" s="8"/>
      <c r="W85" s="8"/>
      <c r="X85" s="8"/>
      <c r="Y85" s="8"/>
      <c r="Z85" s="8"/>
      <c r="AA85" s="8"/>
    </row>
    <row r="86" ht="25.5" customHeight="1" spans="1:27" x14ac:dyDescent="0.25">
      <c r="A86" s="13"/>
      <c r="B86" s="16" t="s">
        <v>1902</v>
      </c>
      <c r="C86" s="16"/>
      <c r="D86" s="16"/>
      <c r="E86" s="16"/>
      <c r="F86" s="16"/>
      <c r="G86" s="8"/>
      <c r="H86" s="8"/>
      <c r="I86" s="8"/>
      <c r="J86" s="8"/>
      <c r="K86" s="8"/>
      <c r="L86" s="8"/>
      <c r="M86" s="8"/>
      <c r="N86" s="8"/>
      <c r="O86" s="8"/>
      <c r="P86" s="8"/>
      <c r="Q86" s="8"/>
      <c r="R86" s="8"/>
      <c r="S86" s="8"/>
      <c r="T86" s="8"/>
      <c r="U86" s="8"/>
      <c r="V86" s="8"/>
      <c r="W86" s="8"/>
      <c r="X86" s="8"/>
      <c r="Y86" s="8"/>
      <c r="Z86" s="8"/>
      <c r="AA86" s="8"/>
    </row>
    <row r="87" ht="25.5" customHeight="1" spans="1:27" x14ac:dyDescent="0.25">
      <c r="A87" s="13"/>
      <c r="B87" s="16" t="s">
        <v>1903</v>
      </c>
      <c r="C87" s="16"/>
      <c r="D87" s="16"/>
      <c r="E87" s="16"/>
      <c r="F87" s="16"/>
      <c r="G87" s="8"/>
      <c r="H87" s="8"/>
      <c r="I87" s="8"/>
      <c r="J87" s="8"/>
      <c r="K87" s="8"/>
      <c r="L87" s="8"/>
      <c r="M87" s="8"/>
      <c r="N87" s="8"/>
      <c r="O87" s="8"/>
      <c r="P87" s="8"/>
      <c r="Q87" s="8"/>
      <c r="R87" s="8"/>
      <c r="S87" s="8"/>
      <c r="T87" s="8"/>
      <c r="U87" s="8"/>
      <c r="V87" s="8"/>
      <c r="W87" s="8"/>
      <c r="X87" s="8"/>
      <c r="Y87" s="8"/>
      <c r="Z87" s="8"/>
      <c r="AA87" s="8"/>
    </row>
    <row r="88" ht="25.5" customHeight="1" spans="1:27" x14ac:dyDescent="0.25">
      <c r="A88" s="13"/>
      <c r="B88" s="16" t="s">
        <v>1904</v>
      </c>
      <c r="C88" s="16"/>
      <c r="D88" s="16"/>
      <c r="E88" s="16"/>
      <c r="F88" s="16"/>
      <c r="G88" s="8"/>
      <c r="H88" s="8"/>
      <c r="I88" s="8"/>
      <c r="J88" s="8"/>
      <c r="K88" s="8"/>
      <c r="L88" s="8"/>
      <c r="M88" s="8"/>
      <c r="N88" s="8"/>
      <c r="O88" s="8"/>
      <c r="P88" s="8"/>
      <c r="Q88" s="8"/>
      <c r="R88" s="8"/>
      <c r="S88" s="8"/>
      <c r="T88" s="8"/>
      <c r="U88" s="8"/>
      <c r="V88" s="8"/>
      <c r="W88" s="8"/>
      <c r="X88" s="8"/>
      <c r="Y88" s="8"/>
      <c r="Z88" s="8"/>
      <c r="AA88" s="8"/>
    </row>
    <row r="89" ht="25.5" customHeight="1" spans="1:27" x14ac:dyDescent="0.25">
      <c r="A89" s="13"/>
      <c r="B89" s="16" t="s">
        <v>1905</v>
      </c>
      <c r="C89" s="16"/>
      <c r="D89" s="16"/>
      <c r="E89" s="16"/>
      <c r="F89" s="16"/>
      <c r="G89" s="8"/>
      <c r="H89" s="8"/>
      <c r="I89" s="8"/>
      <c r="J89" s="8"/>
      <c r="K89" s="8"/>
      <c r="L89" s="8"/>
      <c r="M89" s="8"/>
      <c r="N89" s="8"/>
      <c r="O89" s="8"/>
      <c r="P89" s="8"/>
      <c r="Q89" s="8"/>
      <c r="R89" s="8"/>
      <c r="S89" s="8"/>
      <c r="T89" s="8"/>
      <c r="U89" s="8"/>
      <c r="V89" s="8"/>
      <c r="W89" s="8"/>
      <c r="X89" s="8"/>
      <c r="Y89" s="8"/>
      <c r="Z89" s="8"/>
      <c r="AA89" s="8"/>
    </row>
    <row r="90" ht="15" customHeight="1" spans="1:27" x14ac:dyDescent="0.25">
      <c r="A90" s="13"/>
      <c r="B90" s="16"/>
      <c r="C90" s="16"/>
      <c r="D90" s="16"/>
      <c r="E90" s="16"/>
      <c r="F90" s="16"/>
      <c r="G90" s="8"/>
      <c r="H90" s="8"/>
      <c r="I90" s="8"/>
      <c r="J90" s="8"/>
      <c r="K90" s="8"/>
      <c r="L90" s="8"/>
      <c r="M90" s="8"/>
      <c r="N90" s="8"/>
      <c r="O90" s="8"/>
      <c r="P90" s="8"/>
      <c r="Q90" s="8"/>
      <c r="R90" s="8"/>
      <c r="S90" s="8"/>
      <c r="T90" s="8"/>
      <c r="U90" s="8"/>
      <c r="V90" s="8"/>
      <c r="W90" s="8"/>
      <c r="X90" s="8"/>
      <c r="Y90" s="8"/>
      <c r="Z90" s="8"/>
      <c r="AA90" s="8"/>
    </row>
    <row r="91" ht="14.25" customHeight="1" spans="1:27" x14ac:dyDescent="0.25">
      <c r="A91" s="8"/>
      <c r="B91" s="23"/>
      <c r="C91" s="23"/>
      <c r="D91" s="23"/>
      <c r="E91" s="23"/>
      <c r="F91" s="23"/>
      <c r="G91" s="8"/>
      <c r="H91" s="8"/>
      <c r="I91" s="8"/>
      <c r="J91" s="8"/>
      <c r="K91" s="8"/>
      <c r="L91" s="8"/>
      <c r="M91" s="8"/>
      <c r="N91" s="8"/>
      <c r="O91" s="8"/>
      <c r="P91" s="8"/>
      <c r="Q91" s="8"/>
      <c r="R91" s="8"/>
      <c r="S91" s="8"/>
      <c r="T91" s="8"/>
      <c r="U91" s="8"/>
      <c r="V91" s="8"/>
      <c r="W91" s="8"/>
      <c r="X91" s="8"/>
      <c r="Y91" s="8"/>
      <c r="Z91" s="8"/>
      <c r="AA91" s="8"/>
    </row>
    <row r="92" ht="14.25" customHeight="1" spans="1:27" x14ac:dyDescent="0.25">
      <c r="A92" s="8"/>
      <c r="B92" s="23"/>
      <c r="C92" s="23"/>
      <c r="D92" s="23"/>
      <c r="E92" s="23"/>
      <c r="F92" s="23"/>
      <c r="G92" s="8"/>
      <c r="H92" s="8"/>
      <c r="I92" s="8"/>
      <c r="J92" s="8"/>
      <c r="K92" s="8"/>
      <c r="L92" s="8"/>
      <c r="M92" s="8"/>
      <c r="N92" s="8"/>
      <c r="O92" s="8"/>
      <c r="P92" s="8"/>
      <c r="Q92" s="8"/>
      <c r="R92" s="8"/>
      <c r="S92" s="8"/>
      <c r="T92" s="8"/>
      <c r="U92" s="8"/>
      <c r="V92" s="8"/>
      <c r="W92" s="8"/>
      <c r="X92" s="8"/>
      <c r="Y92" s="8"/>
      <c r="Z92" s="8"/>
      <c r="AA92" s="8"/>
    </row>
    <row r="93" ht="14.25" customHeight="1" spans="1:27" x14ac:dyDescent="0.25">
      <c r="A93" s="8"/>
      <c r="B93" s="23"/>
      <c r="C93" s="23"/>
      <c r="D93" s="23"/>
      <c r="E93" s="23"/>
      <c r="F93" s="23"/>
      <c r="G93" s="8"/>
      <c r="H93" s="8"/>
      <c r="I93" s="8"/>
      <c r="J93" s="8"/>
      <c r="K93" s="8"/>
      <c r="L93" s="8"/>
      <c r="M93" s="8"/>
      <c r="N93" s="8"/>
      <c r="O93" s="8"/>
      <c r="P93" s="8"/>
      <c r="Q93" s="8"/>
      <c r="R93" s="8"/>
      <c r="S93" s="8"/>
      <c r="T93" s="8"/>
      <c r="U93" s="8"/>
      <c r="V93" s="8"/>
      <c r="W93" s="8"/>
      <c r="X93" s="8"/>
      <c r="Y93" s="8"/>
      <c r="Z93" s="8"/>
      <c r="AA93" s="8"/>
    </row>
    <row r="94" ht="14.25" customHeight="1" spans="1:27" x14ac:dyDescent="0.25">
      <c r="A94" s="8"/>
      <c r="B94" s="23"/>
      <c r="C94" s="23"/>
      <c r="D94" s="23"/>
      <c r="E94" s="23"/>
      <c r="F94" s="23"/>
      <c r="G94" s="8"/>
      <c r="H94" s="8"/>
      <c r="I94" s="8"/>
      <c r="J94" s="8"/>
      <c r="K94" s="8"/>
      <c r="L94" s="8"/>
      <c r="M94" s="8"/>
      <c r="N94" s="8"/>
      <c r="O94" s="8"/>
      <c r="P94" s="8"/>
      <c r="Q94" s="8"/>
      <c r="R94" s="8"/>
      <c r="S94" s="8"/>
      <c r="T94" s="8"/>
      <c r="U94" s="8"/>
      <c r="V94" s="8"/>
      <c r="W94" s="8"/>
      <c r="X94" s="8"/>
      <c r="Y94" s="8"/>
      <c r="Z94" s="8"/>
      <c r="AA94" s="8"/>
    </row>
    <row r="95" ht="14.25" customHeight="1" spans="1:27" x14ac:dyDescent="0.25">
      <c r="A95" s="8"/>
      <c r="B95" s="23"/>
      <c r="C95" s="23"/>
      <c r="D95" s="23"/>
      <c r="E95" s="23"/>
      <c r="F95" s="23"/>
      <c r="G95" s="8"/>
      <c r="H95" s="8"/>
      <c r="I95" s="8"/>
      <c r="J95" s="8"/>
      <c r="K95" s="8"/>
      <c r="L95" s="8"/>
      <c r="M95" s="8"/>
      <c r="N95" s="8"/>
      <c r="O95" s="8"/>
      <c r="P95" s="8"/>
      <c r="Q95" s="8"/>
      <c r="R95" s="8"/>
      <c r="S95" s="8"/>
      <c r="T95" s="8"/>
      <c r="U95" s="8"/>
      <c r="V95" s="8"/>
      <c r="W95" s="8"/>
      <c r="X95" s="8"/>
      <c r="Y95" s="8"/>
      <c r="Z95" s="8"/>
      <c r="AA95" s="8"/>
    </row>
    <row r="96" ht="14.25" customHeight="1" spans="1:27" x14ac:dyDescent="0.25">
      <c r="A96" s="8"/>
      <c r="B96" s="23"/>
      <c r="C96" s="23"/>
      <c r="D96" s="23"/>
      <c r="E96" s="23"/>
      <c r="F96" s="23"/>
      <c r="G96" s="8"/>
      <c r="H96" s="8"/>
      <c r="I96" s="8"/>
      <c r="J96" s="8"/>
      <c r="K96" s="8"/>
      <c r="L96" s="8"/>
      <c r="M96" s="8"/>
      <c r="N96" s="8"/>
      <c r="O96" s="8"/>
      <c r="P96" s="8"/>
      <c r="Q96" s="8"/>
      <c r="R96" s="8"/>
      <c r="S96" s="8"/>
      <c r="T96" s="8"/>
      <c r="U96" s="8"/>
      <c r="V96" s="8"/>
      <c r="W96" s="8"/>
      <c r="X96" s="8"/>
      <c r="Y96" s="8"/>
      <c r="Z96" s="8"/>
      <c r="AA96" s="8"/>
    </row>
    <row r="97" ht="14.25" customHeight="1" spans="1:27" x14ac:dyDescent="0.25">
      <c r="A97" s="8"/>
      <c r="B97" s="23"/>
      <c r="C97" s="23"/>
      <c r="D97" s="23"/>
      <c r="E97" s="23"/>
      <c r="F97" s="23"/>
      <c r="G97" s="8"/>
      <c r="H97" s="8"/>
      <c r="I97" s="8"/>
      <c r="J97" s="8"/>
      <c r="K97" s="8"/>
      <c r="L97" s="8"/>
      <c r="M97" s="8"/>
      <c r="N97" s="8"/>
      <c r="O97" s="8"/>
      <c r="P97" s="8"/>
      <c r="Q97" s="8"/>
      <c r="R97" s="8"/>
      <c r="S97" s="8"/>
      <c r="T97" s="8"/>
      <c r="U97" s="8"/>
      <c r="V97" s="8"/>
      <c r="W97" s="8"/>
      <c r="X97" s="8"/>
      <c r="Y97" s="8"/>
      <c r="Z97" s="8"/>
      <c r="AA97" s="8"/>
    </row>
    <row r="98" ht="14.25" customHeight="1" spans="1:27" x14ac:dyDescent="0.25">
      <c r="A98" s="8"/>
      <c r="B98" s="23"/>
      <c r="C98" s="23"/>
      <c r="D98" s="23"/>
      <c r="E98" s="23"/>
      <c r="F98" s="23"/>
      <c r="G98" s="8"/>
      <c r="H98" s="8"/>
      <c r="I98" s="8"/>
      <c r="J98" s="8"/>
      <c r="K98" s="8"/>
      <c r="L98" s="8"/>
      <c r="M98" s="8"/>
      <c r="N98" s="8"/>
      <c r="O98" s="8"/>
      <c r="P98" s="8"/>
      <c r="Q98" s="8"/>
      <c r="R98" s="8"/>
      <c r="S98" s="8"/>
      <c r="T98" s="8"/>
      <c r="U98" s="8"/>
      <c r="V98" s="8"/>
      <c r="W98" s="8"/>
      <c r="X98" s="8"/>
      <c r="Y98" s="8"/>
      <c r="Z98" s="8"/>
      <c r="AA98" s="8"/>
    </row>
    <row r="99" ht="24.75" customHeight="1" spans="1:27" x14ac:dyDescent="0.25">
      <c r="A99" s="8"/>
      <c r="B99" s="23" t="s">
        <v>1906</v>
      </c>
      <c r="C99" s="23" t="s">
        <v>1907</v>
      </c>
      <c r="D99" s="23"/>
      <c r="E99" s="23"/>
      <c r="F99" s="23"/>
      <c r="G99" s="8"/>
      <c r="H99" s="8"/>
      <c r="I99" s="8"/>
      <c r="J99" s="8"/>
      <c r="K99" s="8"/>
      <c r="L99" s="8"/>
      <c r="M99" s="8"/>
      <c r="N99" s="8"/>
      <c r="O99" s="8"/>
      <c r="P99" s="8"/>
      <c r="Q99" s="8"/>
      <c r="R99" s="8"/>
      <c r="S99" s="8"/>
      <c r="T99" s="8"/>
      <c r="U99" s="8"/>
      <c r="V99" s="8"/>
      <c r="W99" s="8"/>
      <c r="X99" s="8"/>
      <c r="Y99" s="8"/>
      <c r="Z99" s="8"/>
      <c r="AA99" s="8"/>
    </row>
    <row r="100" ht="14.25" customHeight="1" spans="1:27" x14ac:dyDescent="0.25">
      <c r="A100" s="8"/>
      <c r="B100" s="23"/>
      <c r="C100" s="23"/>
      <c r="D100" s="23"/>
      <c r="E100" s="23"/>
      <c r="F100" s="23"/>
      <c r="G100" s="8"/>
      <c r="H100" s="8"/>
      <c r="I100" s="8"/>
      <c r="J100" s="8"/>
      <c r="K100" s="8"/>
      <c r="L100" s="8"/>
      <c r="M100" s="8"/>
      <c r="N100" s="8"/>
      <c r="O100" s="8"/>
      <c r="P100" s="8"/>
      <c r="Q100" s="8"/>
      <c r="R100" s="8"/>
      <c r="S100" s="8"/>
      <c r="T100" s="8"/>
      <c r="U100" s="8"/>
      <c r="V100" s="8"/>
      <c r="W100" s="8"/>
      <c r="X100" s="8"/>
      <c r="Y100" s="8"/>
      <c r="Z100" s="8"/>
      <c r="AA100" s="8"/>
    </row>
    <row r="101" ht="14.25" customHeight="1" spans="1:27" x14ac:dyDescent="0.25">
      <c r="A101" s="8"/>
      <c r="B101" s="23"/>
      <c r="C101" s="23"/>
      <c r="D101" s="23"/>
      <c r="E101" s="23"/>
      <c r="F101" s="23"/>
      <c r="G101" s="8"/>
      <c r="H101" s="8"/>
      <c r="I101" s="8"/>
      <c r="J101" s="8"/>
      <c r="K101" s="8"/>
      <c r="L101" s="8"/>
      <c r="M101" s="8"/>
      <c r="N101" s="8"/>
      <c r="O101" s="8"/>
      <c r="P101" s="8"/>
      <c r="Q101" s="8"/>
      <c r="R101" s="8"/>
      <c r="S101" s="8"/>
      <c r="T101" s="8"/>
      <c r="U101" s="8"/>
      <c r="V101" s="8"/>
      <c r="W101" s="8"/>
      <c r="X101" s="8"/>
      <c r="Y101" s="8"/>
      <c r="Z101" s="8"/>
      <c r="AA101" s="8"/>
    </row>
    <row r="102" ht="14.25" customHeight="1" spans="1:27" x14ac:dyDescent="0.25">
      <c r="A102" s="8"/>
      <c r="B102" s="23"/>
      <c r="C102" s="23"/>
      <c r="D102" s="23"/>
      <c r="E102" s="23"/>
      <c r="F102" s="23"/>
      <c r="G102" s="8"/>
      <c r="H102" s="8"/>
      <c r="I102" s="8"/>
      <c r="J102" s="8"/>
      <c r="K102" s="8"/>
      <c r="L102" s="8"/>
      <c r="M102" s="8"/>
      <c r="N102" s="8"/>
      <c r="O102" s="8"/>
      <c r="P102" s="8"/>
      <c r="Q102" s="8"/>
      <c r="R102" s="8"/>
      <c r="S102" s="8"/>
      <c r="T102" s="8"/>
      <c r="U102" s="8"/>
      <c r="V102" s="8"/>
      <c r="W102" s="8"/>
      <c r="X102" s="8"/>
      <c r="Y102" s="8"/>
      <c r="Z102" s="8"/>
      <c r="AA102" s="8"/>
    </row>
    <row r="103" ht="14.25" customHeight="1" spans="1:27" x14ac:dyDescent="0.25">
      <c r="A103" s="8"/>
      <c r="B103" s="23"/>
      <c r="C103" s="23"/>
      <c r="D103" s="23"/>
      <c r="E103" s="23"/>
      <c r="F103" s="23"/>
      <c r="G103" s="8"/>
      <c r="H103" s="8"/>
      <c r="I103" s="8"/>
      <c r="J103" s="8"/>
      <c r="K103" s="8"/>
      <c r="L103" s="8"/>
      <c r="M103" s="8"/>
      <c r="N103" s="8"/>
      <c r="O103" s="8"/>
      <c r="P103" s="8"/>
      <c r="Q103" s="8"/>
      <c r="R103" s="8"/>
      <c r="S103" s="8"/>
      <c r="T103" s="8"/>
      <c r="U103" s="8"/>
      <c r="V103" s="8"/>
      <c r="W103" s="8"/>
      <c r="X103" s="8"/>
      <c r="Y103" s="8"/>
      <c r="Z103" s="8"/>
      <c r="AA103" s="8"/>
    </row>
    <row r="104" ht="14.25" customHeight="1" spans="1:27" x14ac:dyDescent="0.25">
      <c r="A104" s="8"/>
      <c r="B104" s="23"/>
      <c r="C104" s="23"/>
      <c r="D104" s="23"/>
      <c r="E104" s="23"/>
      <c r="F104" s="23"/>
      <c r="G104" s="8"/>
      <c r="H104" s="8"/>
      <c r="I104" s="8"/>
      <c r="J104" s="8"/>
      <c r="K104" s="8"/>
      <c r="L104" s="8"/>
      <c r="M104" s="8"/>
      <c r="N104" s="8"/>
      <c r="O104" s="8"/>
      <c r="P104" s="8"/>
      <c r="Q104" s="8"/>
      <c r="R104" s="8"/>
      <c r="S104" s="8"/>
      <c r="T104" s="8"/>
      <c r="U104" s="8"/>
      <c r="V104" s="8"/>
      <c r="W104" s="8"/>
      <c r="X104" s="8"/>
      <c r="Y104" s="8"/>
      <c r="Z104" s="8"/>
      <c r="AA104" s="8"/>
    </row>
    <row r="105" ht="14.25" customHeight="1" spans="1:27" x14ac:dyDescent="0.25">
      <c r="A105" s="8"/>
      <c r="B105" s="23"/>
      <c r="C105" s="23"/>
      <c r="D105" s="23"/>
      <c r="E105" s="23"/>
      <c r="F105" s="23"/>
      <c r="G105" s="8"/>
      <c r="H105" s="8"/>
      <c r="I105" s="8"/>
      <c r="J105" s="8"/>
      <c r="K105" s="8"/>
      <c r="L105" s="8"/>
      <c r="M105" s="8"/>
      <c r="N105" s="8"/>
      <c r="O105" s="8"/>
      <c r="P105" s="8"/>
      <c r="Q105" s="8"/>
      <c r="R105" s="8"/>
      <c r="S105" s="8"/>
      <c r="T105" s="8"/>
      <c r="U105" s="8"/>
      <c r="V105" s="8"/>
      <c r="W105" s="8"/>
      <c r="X105" s="8"/>
      <c r="Y105" s="8"/>
      <c r="Z105" s="8"/>
      <c r="AA105" s="8"/>
    </row>
    <row r="106" ht="14.25" customHeight="1" spans="1:27" x14ac:dyDescent="0.25">
      <c r="A106" s="8"/>
      <c r="B106" s="23"/>
      <c r="C106" s="23"/>
      <c r="D106" s="23"/>
      <c r="E106" s="23"/>
      <c r="F106" s="23"/>
      <c r="G106" s="8"/>
      <c r="H106" s="8"/>
      <c r="I106" s="8"/>
      <c r="J106" s="8"/>
      <c r="K106" s="8"/>
      <c r="L106" s="8"/>
      <c r="M106" s="8"/>
      <c r="N106" s="8"/>
      <c r="O106" s="8"/>
      <c r="P106" s="8"/>
      <c r="Q106" s="8"/>
      <c r="R106" s="8"/>
      <c r="S106" s="8"/>
      <c r="T106" s="8"/>
      <c r="U106" s="8"/>
      <c r="V106" s="8"/>
      <c r="W106" s="8"/>
      <c r="X106" s="8"/>
      <c r="Y106" s="8"/>
      <c r="Z106" s="8"/>
      <c r="AA106" s="8"/>
    </row>
    <row r="107" ht="14.25" customHeight="1" spans="1:27" x14ac:dyDescent="0.25">
      <c r="A107" s="8"/>
      <c r="B107" s="23"/>
      <c r="C107" s="23"/>
      <c r="D107" s="23"/>
      <c r="E107" s="23"/>
      <c r="F107" s="23"/>
      <c r="G107" s="8"/>
      <c r="H107" s="8"/>
      <c r="I107" s="8"/>
      <c r="J107" s="8"/>
      <c r="K107" s="8"/>
      <c r="L107" s="8"/>
      <c r="M107" s="8"/>
      <c r="N107" s="8"/>
      <c r="O107" s="8"/>
      <c r="P107" s="8"/>
      <c r="Q107" s="8"/>
      <c r="R107" s="8"/>
      <c r="S107" s="8"/>
      <c r="T107" s="8"/>
      <c r="U107" s="8"/>
      <c r="V107" s="8"/>
      <c r="W107" s="8"/>
      <c r="X107" s="8"/>
      <c r="Y107" s="8"/>
      <c r="Z107" s="8"/>
      <c r="AA107" s="8"/>
    </row>
    <row r="108" ht="14.25" customHeight="1" spans="1:27" x14ac:dyDescent="0.25">
      <c r="A108" s="8"/>
      <c r="B108" s="23"/>
      <c r="C108" s="23"/>
      <c r="D108" s="23"/>
      <c r="E108" s="23"/>
      <c r="F108" s="23"/>
      <c r="G108" s="8"/>
      <c r="H108" s="8"/>
      <c r="I108" s="8"/>
      <c r="J108" s="8"/>
      <c r="K108" s="8"/>
      <c r="L108" s="8"/>
      <c r="M108" s="8"/>
      <c r="N108" s="8"/>
      <c r="O108" s="8"/>
      <c r="P108" s="8"/>
      <c r="Q108" s="8"/>
      <c r="R108" s="8"/>
      <c r="S108" s="8"/>
      <c r="T108" s="8"/>
      <c r="U108" s="8"/>
      <c r="V108" s="8"/>
      <c r="W108" s="8"/>
      <c r="X108" s="8"/>
      <c r="Y108" s="8"/>
      <c r="Z108" s="8"/>
      <c r="AA108" s="8"/>
    </row>
    <row r="109" ht="14.25" customHeight="1" spans="1:27" x14ac:dyDescent="0.25">
      <c r="A109" s="8"/>
      <c r="B109" s="23"/>
      <c r="C109" s="23"/>
      <c r="D109" s="23"/>
      <c r="E109" s="23"/>
      <c r="F109" s="23"/>
      <c r="G109" s="8"/>
      <c r="H109" s="8"/>
      <c r="I109" s="8"/>
      <c r="J109" s="8"/>
      <c r="K109" s="8"/>
      <c r="L109" s="8"/>
      <c r="M109" s="8"/>
      <c r="N109" s="8"/>
      <c r="O109" s="8"/>
      <c r="P109" s="8"/>
      <c r="Q109" s="8"/>
      <c r="R109" s="8"/>
      <c r="S109" s="8"/>
      <c r="T109" s="8"/>
      <c r="U109" s="8"/>
      <c r="V109" s="8"/>
      <c r="W109" s="8"/>
      <c r="X109" s="8"/>
      <c r="Y109" s="8"/>
      <c r="Z109" s="8"/>
      <c r="AA109" s="8"/>
    </row>
    <row r="110" ht="14.25" customHeight="1" spans="1:27" x14ac:dyDescent="0.25">
      <c r="A110" s="8"/>
      <c r="B110" s="23"/>
      <c r="C110" s="23"/>
      <c r="D110" s="23"/>
      <c r="E110" s="23"/>
      <c r="F110" s="23"/>
      <c r="G110" s="8"/>
      <c r="H110" s="8"/>
      <c r="I110" s="8"/>
      <c r="J110" s="8"/>
      <c r="K110" s="8"/>
      <c r="L110" s="8"/>
      <c r="M110" s="8"/>
      <c r="N110" s="8"/>
      <c r="O110" s="8"/>
      <c r="P110" s="8"/>
      <c r="Q110" s="8"/>
      <c r="R110" s="8"/>
      <c r="S110" s="8"/>
      <c r="T110" s="8"/>
      <c r="U110" s="8"/>
      <c r="V110" s="8"/>
      <c r="W110" s="8"/>
      <c r="X110" s="8"/>
      <c r="Y110" s="8"/>
      <c r="Z110" s="8"/>
      <c r="AA110" s="8"/>
    </row>
    <row r="111" ht="14.25" customHeight="1" spans="1:27" x14ac:dyDescent="0.25">
      <c r="A111" s="8"/>
      <c r="B111" s="23"/>
      <c r="C111" s="23"/>
      <c r="D111" s="23"/>
      <c r="E111" s="23"/>
      <c r="F111" s="23"/>
      <c r="G111" s="8"/>
      <c r="H111" s="8"/>
      <c r="I111" s="8"/>
      <c r="J111" s="8"/>
      <c r="K111" s="8"/>
      <c r="L111" s="8"/>
      <c r="M111" s="8"/>
      <c r="N111" s="8"/>
      <c r="O111" s="8"/>
      <c r="P111" s="8"/>
      <c r="Q111" s="8"/>
      <c r="R111" s="8"/>
      <c r="S111" s="8"/>
      <c r="T111" s="8"/>
      <c r="U111" s="8"/>
      <c r="V111" s="8"/>
      <c r="W111" s="8"/>
      <c r="X111" s="8"/>
      <c r="Y111" s="8"/>
      <c r="Z111" s="8"/>
      <c r="AA111" s="8"/>
    </row>
    <row r="112" ht="14.25" customHeight="1" spans="1:27" x14ac:dyDescent="0.25">
      <c r="A112" s="8"/>
      <c r="B112" s="23"/>
      <c r="C112" s="23"/>
      <c r="D112" s="23"/>
      <c r="E112" s="23"/>
      <c r="F112" s="23"/>
      <c r="G112" s="8"/>
      <c r="H112" s="8"/>
      <c r="I112" s="8"/>
      <c r="J112" s="8"/>
      <c r="K112" s="8"/>
      <c r="L112" s="8"/>
      <c r="M112" s="8"/>
      <c r="N112" s="8"/>
      <c r="O112" s="8"/>
      <c r="P112" s="8"/>
      <c r="Q112" s="8"/>
      <c r="R112" s="8"/>
      <c r="S112" s="8"/>
      <c r="T112" s="8"/>
      <c r="U112" s="8"/>
      <c r="V112" s="8"/>
      <c r="W112" s="8"/>
      <c r="X112" s="8"/>
      <c r="Y112" s="8"/>
      <c r="Z112" s="8"/>
      <c r="AA112" s="8"/>
    </row>
    <row r="113" ht="14.25" customHeight="1" spans="1:27" x14ac:dyDescent="0.25">
      <c r="A113" s="8"/>
      <c r="B113" s="23"/>
      <c r="C113" s="23"/>
      <c r="D113" s="23"/>
      <c r="E113" s="23"/>
      <c r="F113" s="23"/>
      <c r="G113" s="8"/>
      <c r="H113" s="8"/>
      <c r="I113" s="8"/>
      <c r="J113" s="8"/>
      <c r="K113" s="8"/>
      <c r="L113" s="8"/>
      <c r="M113" s="8"/>
      <c r="N113" s="8"/>
      <c r="O113" s="8"/>
      <c r="P113" s="8"/>
      <c r="Q113" s="8"/>
      <c r="R113" s="8"/>
      <c r="S113" s="8"/>
      <c r="T113" s="8"/>
      <c r="U113" s="8"/>
      <c r="V113" s="8"/>
      <c r="W113" s="8"/>
      <c r="X113" s="8"/>
      <c r="Y113" s="8"/>
      <c r="Z113" s="8"/>
      <c r="AA113" s="8"/>
    </row>
    <row r="114" ht="14.25" customHeight="1" spans="1:27" x14ac:dyDescent="0.25">
      <c r="A114" s="8"/>
      <c r="B114" s="23"/>
      <c r="C114" s="23"/>
      <c r="D114" s="23"/>
      <c r="E114" s="23"/>
      <c r="F114" s="23"/>
      <c r="G114" s="8"/>
      <c r="H114" s="8"/>
      <c r="I114" s="8"/>
      <c r="J114" s="8"/>
      <c r="K114" s="8"/>
      <c r="L114" s="8"/>
      <c r="M114" s="8"/>
      <c r="N114" s="8"/>
      <c r="O114" s="8"/>
      <c r="P114" s="8"/>
      <c r="Q114" s="8"/>
      <c r="R114" s="8"/>
      <c r="S114" s="8"/>
      <c r="T114" s="8"/>
      <c r="U114" s="8"/>
      <c r="V114" s="8"/>
      <c r="W114" s="8"/>
      <c r="X114" s="8"/>
      <c r="Y114" s="8"/>
      <c r="Z114" s="8"/>
      <c r="AA114" s="8"/>
    </row>
    <row r="115" ht="14.25" customHeight="1" spans="1:27" x14ac:dyDescent="0.25">
      <c r="A115" s="8"/>
      <c r="B115" s="23"/>
      <c r="C115" s="23"/>
      <c r="D115" s="23"/>
      <c r="E115" s="23"/>
      <c r="F115" s="23"/>
      <c r="G115" s="8"/>
      <c r="H115" s="8"/>
      <c r="I115" s="8"/>
      <c r="J115" s="8"/>
      <c r="K115" s="8"/>
      <c r="L115" s="8"/>
      <c r="M115" s="8"/>
      <c r="N115" s="8"/>
      <c r="O115" s="8"/>
      <c r="P115" s="8"/>
      <c r="Q115" s="8"/>
      <c r="R115" s="8"/>
      <c r="S115" s="8"/>
      <c r="T115" s="8"/>
      <c r="U115" s="8"/>
      <c r="V115" s="8"/>
      <c r="W115" s="8"/>
      <c r="X115" s="8"/>
      <c r="Y115" s="8"/>
      <c r="Z115" s="8"/>
      <c r="AA115" s="8"/>
    </row>
    <row r="116" ht="14.25" customHeight="1" spans="1:27" x14ac:dyDescent="0.25">
      <c r="A116" s="8"/>
      <c r="B116" s="23"/>
      <c r="C116" s="23"/>
      <c r="D116" s="23"/>
      <c r="E116" s="23"/>
      <c r="F116" s="23"/>
      <c r="G116" s="8"/>
      <c r="H116" s="8"/>
      <c r="I116" s="8"/>
      <c r="J116" s="8"/>
      <c r="K116" s="8"/>
      <c r="L116" s="8"/>
      <c r="M116" s="8"/>
      <c r="N116" s="8"/>
      <c r="O116" s="8"/>
      <c r="P116" s="8"/>
      <c r="Q116" s="8"/>
      <c r="R116" s="8"/>
      <c r="S116" s="8"/>
      <c r="T116" s="8"/>
      <c r="U116" s="8"/>
      <c r="V116" s="8"/>
      <c r="W116" s="8"/>
      <c r="X116" s="8"/>
      <c r="Y116" s="8"/>
      <c r="Z116" s="8"/>
      <c r="AA116" s="8"/>
    </row>
    <row r="117" ht="14.25" customHeight="1" spans="1:27" x14ac:dyDescent="0.25">
      <c r="A117" s="8"/>
      <c r="B117" s="23"/>
      <c r="C117" s="23"/>
      <c r="D117" s="23"/>
      <c r="E117" s="23"/>
      <c r="F117" s="23"/>
      <c r="G117" s="8"/>
      <c r="H117" s="8"/>
      <c r="I117" s="8"/>
      <c r="J117" s="8"/>
      <c r="K117" s="8"/>
      <c r="L117" s="8"/>
      <c r="M117" s="8"/>
      <c r="N117" s="8"/>
      <c r="O117" s="8"/>
      <c r="P117" s="8"/>
      <c r="Q117" s="8"/>
      <c r="R117" s="8"/>
      <c r="S117" s="8"/>
      <c r="T117" s="8"/>
      <c r="U117" s="8"/>
      <c r="V117" s="8"/>
      <c r="W117" s="8"/>
      <c r="X117" s="8"/>
      <c r="Y117" s="8"/>
      <c r="Z117" s="8"/>
      <c r="AA117" s="8"/>
    </row>
    <row r="118" ht="14.25" customHeight="1" spans="1:27" x14ac:dyDescent="0.25">
      <c r="A118" s="8"/>
      <c r="B118" s="23"/>
      <c r="C118" s="23"/>
      <c r="D118" s="23"/>
      <c r="E118" s="23"/>
      <c r="F118" s="23"/>
      <c r="G118" s="8"/>
      <c r="H118" s="8"/>
      <c r="I118" s="8"/>
      <c r="J118" s="8"/>
      <c r="K118" s="8"/>
      <c r="L118" s="8"/>
      <c r="M118" s="8"/>
      <c r="N118" s="8"/>
      <c r="O118" s="8"/>
      <c r="P118" s="8"/>
      <c r="Q118" s="8"/>
      <c r="R118" s="8"/>
      <c r="S118" s="8"/>
      <c r="T118" s="8"/>
      <c r="U118" s="8"/>
      <c r="V118" s="8"/>
      <c r="W118" s="8"/>
      <c r="X118" s="8"/>
      <c r="Y118" s="8"/>
      <c r="Z118" s="8"/>
      <c r="AA118" s="8"/>
    </row>
    <row r="119" ht="14.25" customHeight="1" spans="1:27" x14ac:dyDescent="0.25">
      <c r="A119" s="8"/>
      <c r="B119" s="23"/>
      <c r="C119" s="23"/>
      <c r="D119" s="23"/>
      <c r="E119" s="23"/>
      <c r="F119" s="23"/>
      <c r="G119" s="8"/>
      <c r="H119" s="8"/>
      <c r="I119" s="8"/>
      <c r="J119" s="8"/>
      <c r="K119" s="8"/>
      <c r="L119" s="8"/>
      <c r="M119" s="8"/>
      <c r="N119" s="8"/>
      <c r="O119" s="8"/>
      <c r="P119" s="8"/>
      <c r="Q119" s="8"/>
      <c r="R119" s="8"/>
      <c r="S119" s="8"/>
      <c r="T119" s="8"/>
      <c r="U119" s="8"/>
      <c r="V119" s="8"/>
      <c r="W119" s="8"/>
      <c r="X119" s="8"/>
      <c r="Y119" s="8"/>
      <c r="Z119" s="8"/>
      <c r="AA119" s="8"/>
    </row>
    <row r="120" ht="14.25" customHeight="1" spans="1:27" x14ac:dyDescent="0.25">
      <c r="A120" s="8"/>
      <c r="B120" s="23"/>
      <c r="C120" s="23"/>
      <c r="D120" s="23"/>
      <c r="E120" s="23"/>
      <c r="F120" s="23"/>
      <c r="G120" s="8"/>
      <c r="H120" s="8"/>
      <c r="I120" s="8"/>
      <c r="J120" s="8"/>
      <c r="K120" s="8"/>
      <c r="L120" s="8"/>
      <c r="M120" s="8"/>
      <c r="N120" s="8"/>
      <c r="O120" s="8"/>
      <c r="P120" s="8"/>
      <c r="Q120" s="8"/>
      <c r="R120" s="8"/>
      <c r="S120" s="8"/>
      <c r="T120" s="8"/>
      <c r="U120" s="8"/>
      <c r="V120" s="8"/>
      <c r="W120" s="8"/>
      <c r="X120" s="8"/>
      <c r="Y120" s="8"/>
      <c r="Z120" s="8"/>
      <c r="AA120" s="8"/>
    </row>
    <row r="121" ht="14.25" customHeight="1" spans="1:27" x14ac:dyDescent="0.25">
      <c r="A121" s="8"/>
      <c r="B121" s="23"/>
      <c r="C121" s="23"/>
      <c r="D121" s="23"/>
      <c r="E121" s="23"/>
      <c r="F121" s="23"/>
      <c r="G121" s="8"/>
      <c r="H121" s="8"/>
      <c r="I121" s="8"/>
      <c r="J121" s="8"/>
      <c r="K121" s="8"/>
      <c r="L121" s="8"/>
      <c r="M121" s="8"/>
      <c r="N121" s="8"/>
      <c r="O121" s="8"/>
      <c r="P121" s="8"/>
      <c r="Q121" s="8"/>
      <c r="R121" s="8"/>
      <c r="S121" s="8"/>
      <c r="T121" s="8"/>
      <c r="U121" s="8"/>
      <c r="V121" s="8"/>
      <c r="W121" s="8"/>
      <c r="X121" s="8"/>
      <c r="Y121" s="8"/>
      <c r="Z121" s="8"/>
      <c r="AA121" s="8"/>
    </row>
    <row r="122" ht="14.25" customHeight="1" spans="1:27" x14ac:dyDescent="0.25">
      <c r="A122" s="8"/>
      <c r="B122" s="23"/>
      <c r="C122" s="23"/>
      <c r="D122" s="23"/>
      <c r="E122" s="23"/>
      <c r="F122" s="23"/>
      <c r="G122" s="8"/>
      <c r="H122" s="8"/>
      <c r="I122" s="8"/>
      <c r="J122" s="8"/>
      <c r="K122" s="8"/>
      <c r="L122" s="8"/>
      <c r="M122" s="8"/>
      <c r="N122" s="8"/>
      <c r="O122" s="8"/>
      <c r="P122" s="8"/>
      <c r="Q122" s="8"/>
      <c r="R122" s="8"/>
      <c r="S122" s="8"/>
      <c r="T122" s="8"/>
      <c r="U122" s="8"/>
      <c r="V122" s="8"/>
      <c r="W122" s="8"/>
      <c r="X122" s="8"/>
      <c r="Y122" s="8"/>
      <c r="Z122" s="8"/>
      <c r="AA122" s="8"/>
    </row>
    <row r="123" ht="14.25" customHeight="1" spans="1:27" x14ac:dyDescent="0.25">
      <c r="A123" s="8"/>
      <c r="B123" s="23"/>
      <c r="C123" s="23"/>
      <c r="D123" s="23"/>
      <c r="E123" s="23"/>
      <c r="F123" s="23"/>
      <c r="G123" s="8"/>
      <c r="H123" s="8"/>
      <c r="I123" s="8"/>
      <c r="J123" s="8"/>
      <c r="K123" s="8"/>
      <c r="L123" s="8"/>
      <c r="M123" s="8"/>
      <c r="N123" s="8"/>
      <c r="O123" s="8"/>
      <c r="P123" s="8"/>
      <c r="Q123" s="8"/>
      <c r="R123" s="8"/>
      <c r="S123" s="8"/>
      <c r="T123" s="8"/>
      <c r="U123" s="8"/>
      <c r="V123" s="8"/>
      <c r="W123" s="8"/>
      <c r="X123" s="8"/>
      <c r="Y123" s="8"/>
      <c r="Z123" s="8"/>
      <c r="AA123" s="8"/>
    </row>
    <row r="124" ht="14.25" customHeight="1" spans="1:27" x14ac:dyDescent="0.25">
      <c r="A124" s="8"/>
      <c r="B124" s="23"/>
      <c r="C124" s="23"/>
      <c r="D124" s="23"/>
      <c r="E124" s="23"/>
      <c r="F124" s="23"/>
      <c r="G124" s="8"/>
      <c r="H124" s="8"/>
      <c r="I124" s="8"/>
      <c r="J124" s="8"/>
      <c r="K124" s="8"/>
      <c r="L124" s="8"/>
      <c r="M124" s="8"/>
      <c r="N124" s="8"/>
      <c r="O124" s="8"/>
      <c r="P124" s="8"/>
      <c r="Q124" s="8"/>
      <c r="R124" s="8"/>
      <c r="S124" s="8"/>
      <c r="T124" s="8"/>
      <c r="U124" s="8"/>
      <c r="V124" s="8"/>
      <c r="W124" s="8"/>
      <c r="X124" s="8"/>
      <c r="Y124" s="8"/>
      <c r="Z124" s="8"/>
      <c r="AA124" s="8"/>
    </row>
    <row r="125" ht="14.25" customHeight="1" spans="1:27" x14ac:dyDescent="0.25">
      <c r="A125" s="8"/>
      <c r="B125" s="23"/>
      <c r="C125" s="23"/>
      <c r="D125" s="23"/>
      <c r="E125" s="23"/>
      <c r="F125" s="23"/>
      <c r="G125" s="8"/>
      <c r="H125" s="8"/>
      <c r="I125" s="8"/>
      <c r="J125" s="8"/>
      <c r="K125" s="8"/>
      <c r="L125" s="8"/>
      <c r="M125" s="8"/>
      <c r="N125" s="8"/>
      <c r="O125" s="8"/>
      <c r="P125" s="8"/>
      <c r="Q125" s="8"/>
      <c r="R125" s="8"/>
      <c r="S125" s="8"/>
      <c r="T125" s="8"/>
      <c r="U125" s="8"/>
      <c r="V125" s="8"/>
      <c r="W125" s="8"/>
      <c r="X125" s="8"/>
      <c r="Y125" s="8"/>
      <c r="Z125" s="8"/>
      <c r="AA125" s="8"/>
    </row>
    <row r="126" ht="14.25" customHeight="1" spans="1:27" x14ac:dyDescent="0.25">
      <c r="A126" s="8"/>
      <c r="B126" s="23"/>
      <c r="C126" s="23"/>
      <c r="D126" s="23"/>
      <c r="E126" s="23"/>
      <c r="F126" s="23"/>
      <c r="G126" s="8"/>
      <c r="H126" s="8"/>
      <c r="I126" s="8"/>
      <c r="J126" s="8"/>
      <c r="K126" s="8"/>
      <c r="L126" s="8"/>
      <c r="M126" s="8"/>
      <c r="N126" s="8"/>
      <c r="O126" s="8"/>
      <c r="P126" s="8"/>
      <c r="Q126" s="8"/>
      <c r="R126" s="8"/>
      <c r="S126" s="8"/>
      <c r="T126" s="8"/>
      <c r="U126" s="8"/>
      <c r="V126" s="8"/>
      <c r="W126" s="8"/>
      <c r="X126" s="8"/>
      <c r="Y126" s="8"/>
      <c r="Z126" s="8"/>
      <c r="AA126" s="8"/>
    </row>
    <row r="127" ht="14.25" customHeight="1" spans="1:27" x14ac:dyDescent="0.25">
      <c r="A127" s="8"/>
      <c r="B127" s="23"/>
      <c r="C127" s="23"/>
      <c r="D127" s="23"/>
      <c r="E127" s="23"/>
      <c r="F127" s="23"/>
      <c r="G127" s="8"/>
      <c r="H127" s="8"/>
      <c r="I127" s="8"/>
      <c r="J127" s="8"/>
      <c r="K127" s="8"/>
      <c r="L127" s="8"/>
      <c r="M127" s="8"/>
      <c r="N127" s="8"/>
      <c r="O127" s="8"/>
      <c r="P127" s="8"/>
      <c r="Q127" s="8"/>
      <c r="R127" s="8"/>
      <c r="S127" s="8"/>
      <c r="T127" s="8"/>
      <c r="U127" s="8"/>
      <c r="V127" s="8"/>
      <c r="W127" s="8"/>
      <c r="X127" s="8"/>
      <c r="Y127" s="8"/>
      <c r="Z127" s="8"/>
      <c r="AA127" s="8"/>
    </row>
    <row r="128" ht="14.25" customHeight="1" spans="1:27" x14ac:dyDescent="0.25">
      <c r="A128" s="8"/>
      <c r="B128" s="23"/>
      <c r="C128" s="23"/>
      <c r="D128" s="23"/>
      <c r="E128" s="23"/>
      <c r="F128" s="23"/>
      <c r="G128" s="8"/>
      <c r="H128" s="8"/>
      <c r="I128" s="8"/>
      <c r="J128" s="8"/>
      <c r="K128" s="8"/>
      <c r="L128" s="8"/>
      <c r="M128" s="8"/>
      <c r="N128" s="8"/>
      <c r="O128" s="8"/>
      <c r="P128" s="8"/>
      <c r="Q128" s="8"/>
      <c r="R128" s="8"/>
      <c r="S128" s="8"/>
      <c r="T128" s="8"/>
      <c r="U128" s="8"/>
      <c r="V128" s="8"/>
      <c r="W128" s="8"/>
      <c r="X128" s="8"/>
      <c r="Y128" s="8"/>
      <c r="Z128" s="8"/>
      <c r="AA128" s="8"/>
    </row>
    <row r="129" ht="14.25" customHeight="1" spans="1:27" x14ac:dyDescent="0.25">
      <c r="A129" s="8"/>
      <c r="B129" s="23"/>
      <c r="C129" s="23"/>
      <c r="D129" s="23"/>
      <c r="E129" s="23"/>
      <c r="F129" s="23"/>
      <c r="G129" s="8"/>
      <c r="H129" s="8"/>
      <c r="I129" s="8"/>
      <c r="J129" s="8"/>
      <c r="K129" s="8"/>
      <c r="L129" s="8"/>
      <c r="M129" s="8"/>
      <c r="N129" s="8"/>
      <c r="O129" s="8"/>
      <c r="P129" s="8"/>
      <c r="Q129" s="8"/>
      <c r="R129" s="8"/>
      <c r="S129" s="8"/>
      <c r="T129" s="8"/>
      <c r="U129" s="8"/>
      <c r="V129" s="8"/>
      <c r="W129" s="8"/>
      <c r="X129" s="8"/>
      <c r="Y129" s="8"/>
      <c r="Z129" s="8"/>
      <c r="AA129" s="8"/>
    </row>
    <row r="130" ht="14.25" customHeight="1" spans="1:27" x14ac:dyDescent="0.25">
      <c r="A130" s="8"/>
      <c r="B130" s="23"/>
      <c r="C130" s="23"/>
      <c r="D130" s="23"/>
      <c r="E130" s="23"/>
      <c r="F130" s="23"/>
      <c r="G130" s="8"/>
      <c r="H130" s="8"/>
      <c r="I130" s="8"/>
      <c r="J130" s="8"/>
      <c r="K130" s="8"/>
      <c r="L130" s="8"/>
      <c r="M130" s="8"/>
      <c r="N130" s="8"/>
      <c r="O130" s="8"/>
      <c r="P130" s="8"/>
      <c r="Q130" s="8"/>
      <c r="R130" s="8"/>
      <c r="S130" s="8"/>
      <c r="T130" s="8"/>
      <c r="U130" s="8"/>
      <c r="V130" s="8"/>
      <c r="W130" s="8"/>
      <c r="X130" s="8"/>
      <c r="Y130" s="8"/>
      <c r="Z130" s="8"/>
      <c r="AA130" s="8"/>
    </row>
    <row r="131" ht="14.25" customHeight="1" spans="1:27" x14ac:dyDescent="0.25">
      <c r="A131" s="8"/>
      <c r="B131" s="23"/>
      <c r="C131" s="23"/>
      <c r="D131" s="23"/>
      <c r="E131" s="23"/>
      <c r="F131" s="23"/>
      <c r="G131" s="8"/>
      <c r="H131" s="8"/>
      <c r="I131" s="8"/>
      <c r="J131" s="8"/>
      <c r="K131" s="8"/>
      <c r="L131" s="8"/>
      <c r="M131" s="8"/>
      <c r="N131" s="8"/>
      <c r="O131" s="8"/>
      <c r="P131" s="8"/>
      <c r="Q131" s="8"/>
      <c r="R131" s="8"/>
      <c r="S131" s="8"/>
      <c r="T131" s="8"/>
      <c r="U131" s="8"/>
      <c r="V131" s="8"/>
      <c r="W131" s="8"/>
      <c r="X131" s="8"/>
      <c r="Y131" s="8"/>
      <c r="Z131" s="8"/>
      <c r="AA131" s="8"/>
    </row>
    <row r="132" ht="14.25" customHeight="1" spans="1:27" x14ac:dyDescent="0.25">
      <c r="A132" s="8"/>
      <c r="B132" s="23"/>
      <c r="C132" s="23"/>
      <c r="D132" s="23"/>
      <c r="E132" s="23"/>
      <c r="F132" s="23"/>
      <c r="G132" s="8"/>
      <c r="H132" s="8"/>
      <c r="I132" s="8"/>
      <c r="J132" s="8"/>
      <c r="K132" s="8"/>
      <c r="L132" s="8"/>
      <c r="M132" s="8"/>
      <c r="N132" s="8"/>
      <c r="O132" s="8"/>
      <c r="P132" s="8"/>
      <c r="Q132" s="8"/>
      <c r="R132" s="8"/>
      <c r="S132" s="8"/>
      <c r="T132" s="8"/>
      <c r="U132" s="8"/>
      <c r="V132" s="8"/>
      <c r="W132" s="8"/>
      <c r="X132" s="8"/>
      <c r="Y132" s="8"/>
      <c r="Z132" s="8"/>
      <c r="AA132" s="8"/>
    </row>
    <row r="133" ht="14.25" customHeight="1" spans="1:27" x14ac:dyDescent="0.25">
      <c r="A133" s="8"/>
      <c r="B133" s="23"/>
      <c r="C133" s="23"/>
      <c r="D133" s="23"/>
      <c r="E133" s="23"/>
      <c r="F133" s="23"/>
      <c r="G133" s="8"/>
      <c r="H133" s="8"/>
      <c r="I133" s="8"/>
      <c r="J133" s="8"/>
      <c r="K133" s="8"/>
      <c r="L133" s="8"/>
      <c r="M133" s="8"/>
      <c r="N133" s="8"/>
      <c r="O133" s="8"/>
      <c r="P133" s="8"/>
      <c r="Q133" s="8"/>
      <c r="R133" s="8"/>
      <c r="S133" s="8"/>
      <c r="T133" s="8"/>
      <c r="U133" s="8"/>
      <c r="V133" s="8"/>
      <c r="W133" s="8"/>
      <c r="X133" s="8"/>
      <c r="Y133" s="8"/>
      <c r="Z133" s="8"/>
      <c r="AA133" s="8"/>
    </row>
    <row r="134" ht="14.25" customHeight="1" spans="1:27" x14ac:dyDescent="0.25">
      <c r="A134" s="8"/>
      <c r="B134" s="23"/>
      <c r="C134" s="23"/>
      <c r="D134" s="23"/>
      <c r="E134" s="23"/>
      <c r="F134" s="23"/>
      <c r="G134" s="8"/>
      <c r="H134" s="8"/>
      <c r="I134" s="8"/>
      <c r="J134" s="8"/>
      <c r="K134" s="8"/>
      <c r="L134" s="8"/>
      <c r="M134" s="8"/>
      <c r="N134" s="8"/>
      <c r="O134" s="8"/>
      <c r="P134" s="8"/>
      <c r="Q134" s="8"/>
      <c r="R134" s="8"/>
      <c r="S134" s="8"/>
      <c r="T134" s="8"/>
      <c r="U134" s="8"/>
      <c r="V134" s="8"/>
      <c r="W134" s="8"/>
      <c r="X134" s="8"/>
      <c r="Y134" s="8"/>
      <c r="Z134" s="8"/>
      <c r="AA134" s="8"/>
    </row>
    <row r="135" ht="14.25" customHeight="1" spans="1:27" x14ac:dyDescent="0.25">
      <c r="A135" s="8"/>
      <c r="B135" s="23"/>
      <c r="C135" s="23"/>
      <c r="D135" s="23"/>
      <c r="E135" s="23"/>
      <c r="F135" s="23"/>
      <c r="G135" s="8"/>
      <c r="H135" s="8"/>
      <c r="I135" s="8"/>
      <c r="J135" s="8"/>
      <c r="K135" s="8"/>
      <c r="L135" s="8"/>
      <c r="M135" s="8"/>
      <c r="N135" s="8"/>
      <c r="O135" s="8"/>
      <c r="P135" s="8"/>
      <c r="Q135" s="8"/>
      <c r="R135" s="8"/>
      <c r="S135" s="8"/>
      <c r="T135" s="8"/>
      <c r="U135" s="8"/>
      <c r="V135" s="8"/>
      <c r="W135" s="8"/>
      <c r="X135" s="8"/>
      <c r="Y135" s="8"/>
      <c r="Z135" s="8"/>
      <c r="AA135" s="8"/>
    </row>
    <row r="136" ht="14.25" customHeight="1" spans="1:27" x14ac:dyDescent="0.25">
      <c r="A136" s="8"/>
      <c r="B136" s="23"/>
      <c r="C136" s="23"/>
      <c r="D136" s="23"/>
      <c r="E136" s="23"/>
      <c r="F136" s="23"/>
      <c r="G136" s="8"/>
      <c r="H136" s="8"/>
      <c r="I136" s="8"/>
      <c r="J136" s="8"/>
      <c r="K136" s="8"/>
      <c r="L136" s="8"/>
      <c r="M136" s="8"/>
      <c r="N136" s="8"/>
      <c r="O136" s="8"/>
      <c r="P136" s="8"/>
      <c r="Q136" s="8"/>
      <c r="R136" s="8"/>
      <c r="S136" s="8"/>
      <c r="T136" s="8"/>
      <c r="U136" s="8"/>
      <c r="V136" s="8"/>
      <c r="W136" s="8"/>
      <c r="X136" s="8"/>
      <c r="Y136" s="8"/>
      <c r="Z136" s="8"/>
      <c r="AA136" s="8"/>
    </row>
    <row r="137" ht="14.25" customHeight="1" spans="1:27" x14ac:dyDescent="0.25">
      <c r="A137" s="8"/>
      <c r="B137" s="23"/>
      <c r="C137" s="23"/>
      <c r="D137" s="23"/>
      <c r="E137" s="23"/>
      <c r="F137" s="23"/>
      <c r="G137" s="8"/>
      <c r="H137" s="8"/>
      <c r="I137" s="8"/>
      <c r="J137" s="8"/>
      <c r="K137" s="8"/>
      <c r="L137" s="8"/>
      <c r="M137" s="8"/>
      <c r="N137" s="8"/>
      <c r="O137" s="8"/>
      <c r="P137" s="8"/>
      <c r="Q137" s="8"/>
      <c r="R137" s="8"/>
      <c r="S137" s="8"/>
      <c r="T137" s="8"/>
      <c r="U137" s="8"/>
      <c r="V137" s="8"/>
      <c r="W137" s="8"/>
      <c r="X137" s="8"/>
      <c r="Y137" s="8"/>
      <c r="Z137" s="8"/>
      <c r="AA137" s="8"/>
    </row>
    <row r="138" ht="14.25" customHeight="1" spans="1:27" x14ac:dyDescent="0.25">
      <c r="A138" s="8"/>
      <c r="B138" s="23"/>
      <c r="C138" s="23"/>
      <c r="D138" s="23"/>
      <c r="E138" s="23"/>
      <c r="F138" s="23"/>
      <c r="G138" s="8"/>
      <c r="H138" s="8"/>
      <c r="I138" s="8"/>
      <c r="J138" s="8"/>
      <c r="K138" s="8"/>
      <c r="L138" s="8"/>
      <c r="M138" s="8"/>
      <c r="N138" s="8"/>
      <c r="O138" s="8"/>
      <c r="P138" s="8"/>
      <c r="Q138" s="8"/>
      <c r="R138" s="8"/>
      <c r="S138" s="8"/>
      <c r="T138" s="8"/>
      <c r="U138" s="8"/>
      <c r="V138" s="8"/>
      <c r="W138" s="8"/>
      <c r="X138" s="8"/>
      <c r="Y138" s="8"/>
      <c r="Z138" s="8"/>
      <c r="AA138" s="8"/>
    </row>
    <row r="139" ht="14.25" customHeight="1" spans="1:27" x14ac:dyDescent="0.25">
      <c r="A139" s="8"/>
      <c r="B139" s="23"/>
      <c r="C139" s="23"/>
      <c r="D139" s="23"/>
      <c r="E139" s="23"/>
      <c r="F139" s="23"/>
      <c r="G139" s="8"/>
      <c r="H139" s="8"/>
      <c r="I139" s="8"/>
      <c r="J139" s="8"/>
      <c r="K139" s="8"/>
      <c r="L139" s="8"/>
      <c r="M139" s="8"/>
      <c r="N139" s="8"/>
      <c r="O139" s="8"/>
      <c r="P139" s="8"/>
      <c r="Q139" s="8"/>
      <c r="R139" s="8"/>
      <c r="S139" s="8"/>
      <c r="T139" s="8"/>
      <c r="U139" s="8"/>
      <c r="V139" s="8"/>
      <c r="W139" s="8"/>
      <c r="X139" s="8"/>
      <c r="Y139" s="8"/>
      <c r="Z139" s="8"/>
      <c r="AA139" s="8"/>
    </row>
    <row r="140" ht="14.25" customHeight="1" spans="1:27" x14ac:dyDescent="0.25">
      <c r="A140" s="8"/>
      <c r="B140" s="23"/>
      <c r="C140" s="23"/>
      <c r="D140" s="23"/>
      <c r="E140" s="23"/>
      <c r="F140" s="23"/>
      <c r="G140" s="8"/>
      <c r="H140" s="8"/>
      <c r="I140" s="8"/>
      <c r="J140" s="8"/>
      <c r="K140" s="8"/>
      <c r="L140" s="8"/>
      <c r="M140" s="8"/>
      <c r="N140" s="8"/>
      <c r="O140" s="8"/>
      <c r="P140" s="8"/>
      <c r="Q140" s="8"/>
      <c r="R140" s="8"/>
      <c r="S140" s="8"/>
      <c r="T140" s="8"/>
      <c r="U140" s="8"/>
      <c r="V140" s="8"/>
      <c r="W140" s="8"/>
      <c r="X140" s="8"/>
      <c r="Y140" s="8"/>
      <c r="Z140" s="8"/>
      <c r="AA140" s="8"/>
    </row>
    <row r="141" ht="14.25" customHeight="1" spans="1:27" x14ac:dyDescent="0.25">
      <c r="A141" s="8"/>
      <c r="B141" s="23"/>
      <c r="C141" s="23"/>
      <c r="D141" s="23"/>
      <c r="E141" s="23"/>
      <c r="F141" s="23"/>
      <c r="G141" s="8"/>
      <c r="H141" s="8"/>
      <c r="I141" s="8"/>
      <c r="J141" s="8"/>
      <c r="K141" s="8"/>
      <c r="L141" s="8"/>
      <c r="M141" s="8"/>
      <c r="N141" s="8"/>
      <c r="O141" s="8"/>
      <c r="P141" s="8"/>
      <c r="Q141" s="8"/>
      <c r="R141" s="8"/>
      <c r="S141" s="8"/>
      <c r="T141" s="8"/>
      <c r="U141" s="8"/>
      <c r="V141" s="8"/>
      <c r="W141" s="8"/>
      <c r="X141" s="8"/>
      <c r="Y141" s="8"/>
      <c r="Z141" s="8"/>
      <c r="AA141" s="8"/>
    </row>
    <row r="142" ht="14.25" customHeight="1" spans="1:27" x14ac:dyDescent="0.25">
      <c r="A142" s="8"/>
      <c r="B142" s="23"/>
      <c r="C142" s="23"/>
      <c r="D142" s="23"/>
      <c r="E142" s="23"/>
      <c r="F142" s="23"/>
      <c r="G142" s="8"/>
      <c r="H142" s="8"/>
      <c r="I142" s="8"/>
      <c r="J142" s="8"/>
      <c r="K142" s="8"/>
      <c r="L142" s="8"/>
      <c r="M142" s="8"/>
      <c r="N142" s="8"/>
      <c r="O142" s="8"/>
      <c r="P142" s="8"/>
      <c r="Q142" s="8"/>
      <c r="R142" s="8"/>
      <c r="S142" s="8"/>
      <c r="T142" s="8"/>
      <c r="U142" s="8"/>
      <c r="V142" s="8"/>
      <c r="W142" s="8"/>
      <c r="X142" s="8"/>
      <c r="Y142" s="8"/>
      <c r="Z142" s="8"/>
      <c r="AA142" s="8"/>
    </row>
    <row r="143" ht="14.25" customHeight="1" spans="1:27" x14ac:dyDescent="0.25">
      <c r="A143" s="8"/>
      <c r="B143" s="23"/>
      <c r="C143" s="23"/>
      <c r="D143" s="23"/>
      <c r="E143" s="23"/>
      <c r="F143" s="23"/>
      <c r="G143" s="8"/>
      <c r="H143" s="8"/>
      <c r="I143" s="8"/>
      <c r="J143" s="8"/>
      <c r="K143" s="8"/>
      <c r="L143" s="8"/>
      <c r="M143" s="8"/>
      <c r="N143" s="8"/>
      <c r="O143" s="8"/>
      <c r="P143" s="8"/>
      <c r="Q143" s="8"/>
      <c r="R143" s="8"/>
      <c r="S143" s="8"/>
      <c r="T143" s="8"/>
      <c r="U143" s="8"/>
      <c r="V143" s="8"/>
      <c r="W143" s="8"/>
      <c r="X143" s="8"/>
      <c r="Y143" s="8"/>
      <c r="Z143" s="8"/>
      <c r="AA143" s="8"/>
    </row>
    <row r="144" ht="14.25" customHeight="1" spans="1:27" x14ac:dyDescent="0.25">
      <c r="A144" s="8"/>
      <c r="B144" s="23"/>
      <c r="C144" s="23"/>
      <c r="D144" s="23"/>
      <c r="E144" s="23"/>
      <c r="F144" s="23"/>
      <c r="G144" s="8"/>
      <c r="H144" s="8"/>
      <c r="I144" s="8"/>
      <c r="J144" s="8"/>
      <c r="K144" s="8"/>
      <c r="L144" s="8"/>
      <c r="M144" s="8"/>
      <c r="N144" s="8"/>
      <c r="O144" s="8"/>
      <c r="P144" s="8"/>
      <c r="Q144" s="8"/>
      <c r="R144" s="8"/>
      <c r="S144" s="8"/>
      <c r="T144" s="8"/>
      <c r="U144" s="8"/>
      <c r="V144" s="8"/>
      <c r="W144" s="8"/>
      <c r="X144" s="8"/>
      <c r="Y144" s="8"/>
      <c r="Z144" s="8"/>
      <c r="AA144" s="8"/>
    </row>
    <row r="145" ht="14.25" customHeight="1" spans="1:27" x14ac:dyDescent="0.25">
      <c r="A145" s="8"/>
      <c r="B145" s="23"/>
      <c r="C145" s="23"/>
      <c r="D145" s="23"/>
      <c r="E145" s="23"/>
      <c r="F145" s="23"/>
      <c r="G145" s="8"/>
      <c r="H145" s="8"/>
      <c r="I145" s="8"/>
      <c r="J145" s="8"/>
      <c r="K145" s="8"/>
      <c r="L145" s="8"/>
      <c r="M145" s="8"/>
      <c r="N145" s="8"/>
      <c r="O145" s="8"/>
      <c r="P145" s="8"/>
      <c r="Q145" s="8"/>
      <c r="R145" s="8"/>
      <c r="S145" s="8"/>
      <c r="T145" s="8"/>
      <c r="U145" s="8"/>
      <c r="V145" s="8"/>
      <c r="W145" s="8"/>
      <c r="X145" s="8"/>
      <c r="Y145" s="8"/>
      <c r="Z145" s="8"/>
      <c r="AA145" s="8"/>
    </row>
    <row r="146" ht="14.25" customHeight="1" spans="1:27" x14ac:dyDescent="0.25">
      <c r="A146" s="8"/>
      <c r="B146" s="23"/>
      <c r="C146" s="23"/>
      <c r="D146" s="23"/>
      <c r="E146" s="23"/>
      <c r="F146" s="23"/>
      <c r="G146" s="8"/>
      <c r="H146" s="8"/>
      <c r="I146" s="8"/>
      <c r="J146" s="8"/>
      <c r="K146" s="8"/>
      <c r="L146" s="8"/>
      <c r="M146" s="8"/>
      <c r="N146" s="8"/>
      <c r="O146" s="8"/>
      <c r="P146" s="8"/>
      <c r="Q146" s="8"/>
      <c r="R146" s="8"/>
      <c r="S146" s="8"/>
      <c r="T146" s="8"/>
      <c r="U146" s="8"/>
      <c r="V146" s="8"/>
      <c r="W146" s="8"/>
      <c r="X146" s="8"/>
      <c r="Y146" s="8"/>
      <c r="Z146" s="8"/>
      <c r="AA146" s="8"/>
    </row>
    <row r="147" ht="14.25" customHeight="1" spans="1:27" x14ac:dyDescent="0.25">
      <c r="A147" s="8"/>
      <c r="B147" s="23"/>
      <c r="C147" s="23"/>
      <c r="D147" s="23"/>
      <c r="E147" s="23"/>
      <c r="F147" s="23"/>
      <c r="G147" s="8"/>
      <c r="H147" s="8"/>
      <c r="I147" s="8"/>
      <c r="J147" s="8"/>
      <c r="K147" s="8"/>
      <c r="L147" s="8"/>
      <c r="M147" s="8"/>
      <c r="N147" s="8"/>
      <c r="O147" s="8"/>
      <c r="P147" s="8"/>
      <c r="Q147" s="8"/>
      <c r="R147" s="8"/>
      <c r="S147" s="8"/>
      <c r="T147" s="8"/>
      <c r="U147" s="8"/>
      <c r="V147" s="8"/>
      <c r="W147" s="8"/>
      <c r="X147" s="8"/>
      <c r="Y147" s="8"/>
      <c r="Z147" s="8"/>
      <c r="AA147" s="8"/>
    </row>
    <row r="148" ht="14.25" customHeight="1" spans="1:27" x14ac:dyDescent="0.25">
      <c r="A148" s="8"/>
      <c r="B148" s="23"/>
      <c r="C148" s="23"/>
      <c r="D148" s="23"/>
      <c r="E148" s="23"/>
      <c r="F148" s="23"/>
      <c r="G148" s="8"/>
      <c r="H148" s="8"/>
      <c r="I148" s="8"/>
      <c r="J148" s="8"/>
      <c r="K148" s="8"/>
      <c r="L148" s="8"/>
      <c r="M148" s="8"/>
      <c r="N148" s="8"/>
      <c r="O148" s="8"/>
      <c r="P148" s="8"/>
      <c r="Q148" s="8"/>
      <c r="R148" s="8"/>
      <c r="S148" s="8"/>
      <c r="T148" s="8"/>
      <c r="U148" s="8"/>
      <c r="V148" s="8"/>
      <c r="W148" s="8"/>
      <c r="X148" s="8"/>
      <c r="Y148" s="8"/>
      <c r="Z148" s="8"/>
      <c r="AA148" s="8"/>
    </row>
    <row r="149" ht="14.25" customHeight="1" spans="1:27" x14ac:dyDescent="0.25">
      <c r="A149" s="8"/>
      <c r="B149" s="23"/>
      <c r="C149" s="23"/>
      <c r="D149" s="23"/>
      <c r="E149" s="23"/>
      <c r="F149" s="23"/>
      <c r="G149" s="8"/>
      <c r="H149" s="8"/>
      <c r="I149" s="8"/>
      <c r="J149" s="8"/>
      <c r="K149" s="8"/>
      <c r="L149" s="8"/>
      <c r="M149" s="8"/>
      <c r="N149" s="8"/>
      <c r="O149" s="8"/>
      <c r="P149" s="8"/>
      <c r="Q149" s="8"/>
      <c r="R149" s="8"/>
      <c r="S149" s="8"/>
      <c r="T149" s="8"/>
      <c r="U149" s="8"/>
      <c r="V149" s="8"/>
      <c r="W149" s="8"/>
      <c r="X149" s="8"/>
      <c r="Y149" s="8"/>
      <c r="Z149" s="8"/>
      <c r="AA149" s="8"/>
    </row>
    <row r="150" ht="14.25" customHeight="1" spans="1:27" x14ac:dyDescent="0.25">
      <c r="A150" s="8"/>
      <c r="B150" s="23"/>
      <c r="C150" s="23"/>
      <c r="D150" s="23"/>
      <c r="E150" s="23"/>
      <c r="F150" s="23"/>
      <c r="G150" s="8"/>
      <c r="H150" s="8"/>
      <c r="I150" s="8"/>
      <c r="J150" s="8"/>
      <c r="K150" s="8"/>
      <c r="L150" s="8"/>
      <c r="M150" s="8"/>
      <c r="N150" s="8"/>
      <c r="O150" s="8"/>
      <c r="P150" s="8"/>
      <c r="Q150" s="8"/>
      <c r="R150" s="8"/>
      <c r="S150" s="8"/>
      <c r="T150" s="8"/>
      <c r="U150" s="8"/>
      <c r="V150" s="8"/>
      <c r="W150" s="8"/>
      <c r="X150" s="8"/>
      <c r="Y150" s="8"/>
      <c r="Z150" s="8"/>
      <c r="AA150" s="8"/>
    </row>
    <row r="151" ht="14.25" customHeight="1" spans="1:27" x14ac:dyDescent="0.25">
      <c r="A151" s="8"/>
      <c r="B151" s="23"/>
      <c r="C151" s="23"/>
      <c r="D151" s="23"/>
      <c r="E151" s="23"/>
      <c r="F151" s="23"/>
      <c r="G151" s="8"/>
      <c r="H151" s="8"/>
      <c r="I151" s="8"/>
      <c r="J151" s="8"/>
      <c r="K151" s="8"/>
      <c r="L151" s="8"/>
      <c r="M151" s="8"/>
      <c r="N151" s="8"/>
      <c r="O151" s="8"/>
      <c r="P151" s="8"/>
      <c r="Q151" s="8"/>
      <c r="R151" s="8"/>
      <c r="S151" s="8"/>
      <c r="T151" s="8"/>
      <c r="U151" s="8"/>
      <c r="V151" s="8"/>
      <c r="W151" s="8"/>
      <c r="X151" s="8"/>
      <c r="Y151" s="8"/>
      <c r="Z151" s="8"/>
      <c r="AA151" s="8"/>
    </row>
    <row r="152" ht="14.25" customHeight="1" spans="1:27" x14ac:dyDescent="0.25">
      <c r="A152" s="8"/>
      <c r="B152" s="23"/>
      <c r="C152" s="23"/>
      <c r="D152" s="23"/>
      <c r="E152" s="23"/>
      <c r="F152" s="23"/>
      <c r="G152" s="8"/>
      <c r="H152" s="8"/>
      <c r="I152" s="8"/>
      <c r="J152" s="8"/>
      <c r="K152" s="8"/>
      <c r="L152" s="8"/>
      <c r="M152" s="8"/>
      <c r="N152" s="8"/>
      <c r="O152" s="8"/>
      <c r="P152" s="8"/>
      <c r="Q152" s="8"/>
      <c r="R152" s="8"/>
      <c r="S152" s="8"/>
      <c r="T152" s="8"/>
      <c r="U152" s="8"/>
      <c r="V152" s="8"/>
      <c r="W152" s="8"/>
      <c r="X152" s="8"/>
      <c r="Y152" s="8"/>
      <c r="Z152" s="8"/>
      <c r="AA152" s="8"/>
    </row>
    <row r="153" ht="14.25" customHeight="1" spans="1:27" x14ac:dyDescent="0.25">
      <c r="A153" s="8"/>
      <c r="B153" s="23"/>
      <c r="C153" s="23"/>
      <c r="D153" s="23"/>
      <c r="E153" s="23"/>
      <c r="F153" s="23"/>
      <c r="G153" s="8"/>
      <c r="H153" s="8"/>
      <c r="I153" s="8"/>
      <c r="J153" s="8"/>
      <c r="K153" s="8"/>
      <c r="L153" s="8"/>
      <c r="M153" s="8"/>
      <c r="N153" s="8"/>
      <c r="O153" s="8"/>
      <c r="P153" s="8"/>
      <c r="Q153" s="8"/>
      <c r="R153" s="8"/>
      <c r="S153" s="8"/>
      <c r="T153" s="8"/>
      <c r="U153" s="8"/>
      <c r="V153" s="8"/>
      <c r="W153" s="8"/>
      <c r="X153" s="8"/>
      <c r="Y153" s="8"/>
      <c r="Z153" s="8"/>
      <c r="AA153" s="8"/>
    </row>
    <row r="154" ht="14.25" customHeight="1" spans="1:27" x14ac:dyDescent="0.25">
      <c r="A154" s="8"/>
      <c r="B154" s="23"/>
      <c r="C154" s="23"/>
      <c r="D154" s="23"/>
      <c r="E154" s="23"/>
      <c r="F154" s="23"/>
      <c r="G154" s="8"/>
      <c r="H154" s="8"/>
      <c r="I154" s="8"/>
      <c r="J154" s="8"/>
      <c r="K154" s="8"/>
      <c r="L154" s="8"/>
      <c r="M154" s="8"/>
      <c r="N154" s="8"/>
      <c r="O154" s="8"/>
      <c r="P154" s="8"/>
      <c r="Q154" s="8"/>
      <c r="R154" s="8"/>
      <c r="S154" s="8"/>
      <c r="T154" s="8"/>
      <c r="U154" s="8"/>
      <c r="V154" s="8"/>
      <c r="W154" s="8"/>
      <c r="X154" s="8"/>
      <c r="Y154" s="8"/>
      <c r="Z154" s="8"/>
      <c r="AA154" s="8"/>
    </row>
    <row r="155" ht="14.25" customHeight="1" spans="1:27" x14ac:dyDescent="0.25">
      <c r="A155" s="8"/>
      <c r="B155" s="23"/>
      <c r="C155" s="23"/>
      <c r="D155" s="23"/>
      <c r="E155" s="23"/>
      <c r="F155" s="23"/>
      <c r="G155" s="8"/>
      <c r="H155" s="8"/>
      <c r="I155" s="8"/>
      <c r="J155" s="8"/>
      <c r="K155" s="8"/>
      <c r="L155" s="8"/>
      <c r="M155" s="8"/>
      <c r="N155" s="8"/>
      <c r="O155" s="8"/>
      <c r="P155" s="8"/>
      <c r="Q155" s="8"/>
      <c r="R155" s="8"/>
      <c r="S155" s="8"/>
      <c r="T155" s="8"/>
      <c r="U155" s="8"/>
      <c r="V155" s="8"/>
      <c r="W155" s="8"/>
      <c r="X155" s="8"/>
      <c r="Y155" s="8"/>
      <c r="Z155" s="8"/>
      <c r="AA155" s="8"/>
    </row>
    <row r="156" ht="14.25" customHeight="1" spans="1:27" x14ac:dyDescent="0.25">
      <c r="A156" s="8"/>
      <c r="B156" s="23"/>
      <c r="C156" s="23"/>
      <c r="D156" s="23"/>
      <c r="E156" s="23"/>
      <c r="F156" s="23"/>
      <c r="G156" s="8"/>
      <c r="H156" s="8"/>
      <c r="I156" s="8"/>
      <c r="J156" s="8"/>
      <c r="K156" s="8"/>
      <c r="L156" s="8"/>
      <c r="M156" s="8"/>
      <c r="N156" s="8"/>
      <c r="O156" s="8"/>
      <c r="P156" s="8"/>
      <c r="Q156" s="8"/>
      <c r="R156" s="8"/>
      <c r="S156" s="8"/>
      <c r="T156" s="8"/>
      <c r="U156" s="8"/>
      <c r="V156" s="8"/>
      <c r="W156" s="8"/>
      <c r="X156" s="8"/>
      <c r="Y156" s="8"/>
      <c r="Z156" s="8"/>
      <c r="AA156" s="8"/>
    </row>
    <row r="157" ht="14.25" customHeight="1" spans="1:27" x14ac:dyDescent="0.25">
      <c r="A157" s="8"/>
      <c r="B157" s="23"/>
      <c r="C157" s="23"/>
      <c r="D157" s="23"/>
      <c r="E157" s="23"/>
      <c r="F157" s="23"/>
      <c r="G157" s="8"/>
      <c r="H157" s="8"/>
      <c r="I157" s="8"/>
      <c r="J157" s="8"/>
      <c r="K157" s="8"/>
      <c r="L157" s="8"/>
      <c r="M157" s="8"/>
      <c r="N157" s="8"/>
      <c r="O157" s="8"/>
      <c r="P157" s="8"/>
      <c r="Q157" s="8"/>
      <c r="R157" s="8"/>
      <c r="S157" s="8"/>
      <c r="T157" s="8"/>
      <c r="U157" s="8"/>
      <c r="V157" s="8"/>
      <c r="W157" s="8"/>
      <c r="X157" s="8"/>
      <c r="Y157" s="8"/>
      <c r="Z157" s="8"/>
      <c r="AA157" s="8"/>
    </row>
    <row r="158" ht="14.25" customHeight="1" spans="1:27" x14ac:dyDescent="0.25">
      <c r="A158" s="8"/>
      <c r="B158" s="23"/>
      <c r="C158" s="23"/>
      <c r="D158" s="23"/>
      <c r="E158" s="23"/>
      <c r="F158" s="23"/>
      <c r="G158" s="8"/>
      <c r="H158" s="8"/>
      <c r="I158" s="8"/>
      <c r="J158" s="8"/>
      <c r="K158" s="8"/>
      <c r="L158" s="8"/>
      <c r="M158" s="8"/>
      <c r="N158" s="8"/>
      <c r="O158" s="8"/>
      <c r="P158" s="8"/>
      <c r="Q158" s="8"/>
      <c r="R158" s="8"/>
      <c r="S158" s="8"/>
      <c r="T158" s="8"/>
      <c r="U158" s="8"/>
      <c r="V158" s="8"/>
      <c r="W158" s="8"/>
      <c r="X158" s="8"/>
      <c r="Y158" s="8"/>
      <c r="Z158" s="8"/>
      <c r="AA158" s="8"/>
    </row>
    <row r="159" ht="14.25" customHeight="1" spans="1:27" x14ac:dyDescent="0.25">
      <c r="A159" s="8"/>
      <c r="B159" s="23"/>
      <c r="C159" s="23"/>
      <c r="D159" s="23"/>
      <c r="E159" s="23"/>
      <c r="F159" s="23"/>
      <c r="G159" s="8"/>
      <c r="H159" s="8"/>
      <c r="I159" s="8"/>
      <c r="J159" s="8"/>
      <c r="K159" s="8"/>
      <c r="L159" s="8"/>
      <c r="M159" s="8"/>
      <c r="N159" s="8"/>
      <c r="O159" s="8"/>
      <c r="P159" s="8"/>
      <c r="Q159" s="8"/>
      <c r="R159" s="8"/>
      <c r="S159" s="8"/>
      <c r="T159" s="8"/>
      <c r="U159" s="8"/>
      <c r="V159" s="8"/>
      <c r="W159" s="8"/>
      <c r="X159" s="8"/>
      <c r="Y159" s="8"/>
      <c r="Z159" s="8"/>
      <c r="AA159" s="8"/>
    </row>
    <row r="160" ht="14.25" customHeight="1" spans="1:27" x14ac:dyDescent="0.25">
      <c r="A160" s="8"/>
      <c r="B160" s="23"/>
      <c r="C160" s="23"/>
      <c r="D160" s="23"/>
      <c r="E160" s="23"/>
      <c r="F160" s="23"/>
      <c r="G160" s="8"/>
      <c r="H160" s="8"/>
      <c r="I160" s="8"/>
      <c r="J160" s="8"/>
      <c r="K160" s="8"/>
      <c r="L160" s="8"/>
      <c r="M160" s="8"/>
      <c r="N160" s="8"/>
      <c r="O160" s="8"/>
      <c r="P160" s="8"/>
      <c r="Q160" s="8"/>
      <c r="R160" s="8"/>
      <c r="S160" s="8"/>
      <c r="T160" s="8"/>
      <c r="U160" s="8"/>
      <c r="V160" s="8"/>
      <c r="W160" s="8"/>
      <c r="X160" s="8"/>
      <c r="Y160" s="8"/>
      <c r="Z160" s="8"/>
      <c r="AA160" s="8"/>
    </row>
    <row r="161" ht="14.25" customHeight="1" spans="1:27" x14ac:dyDescent="0.25">
      <c r="A161" s="8"/>
      <c r="B161" s="23"/>
      <c r="C161" s="23"/>
      <c r="D161" s="23"/>
      <c r="E161" s="23"/>
      <c r="F161" s="23"/>
      <c r="G161" s="8"/>
      <c r="H161" s="8"/>
      <c r="I161" s="8"/>
      <c r="J161" s="8"/>
      <c r="K161" s="8"/>
      <c r="L161" s="8"/>
      <c r="M161" s="8"/>
      <c r="N161" s="8"/>
      <c r="O161" s="8"/>
      <c r="P161" s="8"/>
      <c r="Q161" s="8"/>
      <c r="R161" s="8"/>
      <c r="S161" s="8"/>
      <c r="T161" s="8"/>
      <c r="U161" s="8"/>
      <c r="V161" s="8"/>
      <c r="W161" s="8"/>
      <c r="X161" s="8"/>
      <c r="Y161" s="8"/>
      <c r="Z161" s="8"/>
      <c r="AA161" s="8"/>
    </row>
    <row r="162" ht="14.25" customHeight="1" spans="1:27" x14ac:dyDescent="0.25">
      <c r="A162" s="8"/>
      <c r="B162" s="23"/>
      <c r="C162" s="23"/>
      <c r="D162" s="23"/>
      <c r="E162" s="23"/>
      <c r="F162" s="23"/>
      <c r="G162" s="8"/>
      <c r="H162" s="8"/>
      <c r="I162" s="8"/>
      <c r="J162" s="8"/>
      <c r="K162" s="8"/>
      <c r="L162" s="8"/>
      <c r="M162" s="8"/>
      <c r="N162" s="8"/>
      <c r="O162" s="8"/>
      <c r="P162" s="8"/>
      <c r="Q162" s="8"/>
      <c r="R162" s="8"/>
      <c r="S162" s="8"/>
      <c r="T162" s="8"/>
      <c r="U162" s="8"/>
      <c r="V162" s="8"/>
      <c r="W162" s="8"/>
      <c r="X162" s="8"/>
      <c r="Y162" s="8"/>
      <c r="Z162" s="8"/>
      <c r="AA162" s="8"/>
    </row>
    <row r="163" ht="14.25" customHeight="1" spans="1:27" x14ac:dyDescent="0.25">
      <c r="A163" s="8"/>
      <c r="B163" s="23"/>
      <c r="C163" s="23"/>
      <c r="D163" s="23"/>
      <c r="E163" s="23"/>
      <c r="F163" s="23"/>
      <c r="G163" s="8"/>
      <c r="H163" s="8"/>
      <c r="I163" s="8"/>
      <c r="J163" s="8"/>
      <c r="K163" s="8"/>
      <c r="L163" s="8"/>
      <c r="M163" s="8"/>
      <c r="N163" s="8"/>
      <c r="O163" s="8"/>
      <c r="P163" s="8"/>
      <c r="Q163" s="8"/>
      <c r="R163" s="8"/>
      <c r="S163" s="8"/>
      <c r="T163" s="8"/>
      <c r="U163" s="8"/>
      <c r="V163" s="8"/>
      <c r="W163" s="8"/>
      <c r="X163" s="8"/>
      <c r="Y163" s="8"/>
      <c r="Z163" s="8"/>
      <c r="AA163" s="8"/>
    </row>
    <row r="164" ht="14.25" customHeight="1" spans="1:27" x14ac:dyDescent="0.25">
      <c r="A164" s="8"/>
      <c r="B164" s="23"/>
      <c r="C164" s="23"/>
      <c r="D164" s="23"/>
      <c r="E164" s="23"/>
      <c r="F164" s="23"/>
      <c r="G164" s="8"/>
      <c r="H164" s="8"/>
      <c r="I164" s="8"/>
      <c r="J164" s="8"/>
      <c r="K164" s="8"/>
      <c r="L164" s="8"/>
      <c r="M164" s="8"/>
      <c r="N164" s="8"/>
      <c r="O164" s="8"/>
      <c r="P164" s="8"/>
      <c r="Q164" s="8"/>
      <c r="R164" s="8"/>
      <c r="S164" s="8"/>
      <c r="T164" s="8"/>
      <c r="U164" s="8"/>
      <c r="V164" s="8"/>
      <c r="W164" s="8"/>
      <c r="X164" s="8"/>
      <c r="Y164" s="8"/>
      <c r="Z164" s="8"/>
      <c r="AA164" s="8"/>
    </row>
    <row r="165" ht="14.25" customHeight="1" spans="1:27" x14ac:dyDescent="0.25">
      <c r="A165" s="8"/>
      <c r="B165" s="23"/>
      <c r="C165" s="23"/>
      <c r="D165" s="23"/>
      <c r="E165" s="23"/>
      <c r="F165" s="23"/>
      <c r="G165" s="8"/>
      <c r="H165" s="8"/>
      <c r="I165" s="8"/>
      <c r="J165" s="8"/>
      <c r="K165" s="8"/>
      <c r="L165" s="8"/>
      <c r="M165" s="8"/>
      <c r="N165" s="8"/>
      <c r="O165" s="8"/>
      <c r="P165" s="8"/>
      <c r="Q165" s="8"/>
      <c r="R165" s="8"/>
      <c r="S165" s="8"/>
      <c r="T165" s="8"/>
      <c r="U165" s="8"/>
      <c r="V165" s="8"/>
      <c r="W165" s="8"/>
      <c r="X165" s="8"/>
      <c r="Y165" s="8"/>
      <c r="Z165" s="8"/>
      <c r="AA165" s="8"/>
    </row>
    <row r="166" ht="14.25" customHeight="1" spans="1:27" x14ac:dyDescent="0.25">
      <c r="A166" s="8"/>
      <c r="B166" s="23"/>
      <c r="C166" s="23"/>
      <c r="D166" s="23"/>
      <c r="E166" s="23"/>
      <c r="F166" s="23"/>
      <c r="G166" s="8"/>
      <c r="H166" s="8"/>
      <c r="I166" s="8"/>
      <c r="J166" s="8"/>
      <c r="K166" s="8"/>
      <c r="L166" s="8"/>
      <c r="M166" s="8"/>
      <c r="N166" s="8"/>
      <c r="O166" s="8"/>
      <c r="P166" s="8"/>
      <c r="Q166" s="8"/>
      <c r="R166" s="8"/>
      <c r="S166" s="8"/>
      <c r="T166" s="8"/>
      <c r="U166" s="8"/>
      <c r="V166" s="8"/>
      <c r="W166" s="8"/>
      <c r="X166" s="8"/>
      <c r="Y166" s="8"/>
      <c r="Z166" s="8"/>
      <c r="AA166" s="8"/>
    </row>
    <row r="167" ht="14.25" customHeight="1" spans="1:27" x14ac:dyDescent="0.25">
      <c r="A167" s="8"/>
      <c r="B167" s="23"/>
      <c r="C167" s="23"/>
      <c r="D167" s="23"/>
      <c r="E167" s="23"/>
      <c r="F167" s="23"/>
      <c r="G167" s="8"/>
      <c r="H167" s="8"/>
      <c r="I167" s="8"/>
      <c r="J167" s="8"/>
      <c r="K167" s="8"/>
      <c r="L167" s="8"/>
      <c r="M167" s="8"/>
      <c r="N167" s="8"/>
      <c r="O167" s="8"/>
      <c r="P167" s="8"/>
      <c r="Q167" s="8"/>
      <c r="R167" s="8"/>
      <c r="S167" s="8"/>
      <c r="T167" s="8"/>
      <c r="U167" s="8"/>
      <c r="V167" s="8"/>
      <c r="W167" s="8"/>
      <c r="X167" s="8"/>
      <c r="Y167" s="8"/>
      <c r="Z167" s="8"/>
      <c r="AA167" s="8"/>
    </row>
    <row r="168" ht="14.25" customHeight="1" spans="1:27" x14ac:dyDescent="0.25">
      <c r="A168" s="8"/>
      <c r="B168" s="23"/>
      <c r="C168" s="23"/>
      <c r="D168" s="23"/>
      <c r="E168" s="23"/>
      <c r="F168" s="23"/>
      <c r="G168" s="8"/>
      <c r="H168" s="8"/>
      <c r="I168" s="8"/>
      <c r="J168" s="8"/>
      <c r="K168" s="8"/>
      <c r="L168" s="8"/>
      <c r="M168" s="8"/>
      <c r="N168" s="8"/>
      <c r="O168" s="8"/>
      <c r="P168" s="8"/>
      <c r="Q168" s="8"/>
      <c r="R168" s="8"/>
      <c r="S168" s="8"/>
      <c r="T168" s="8"/>
      <c r="U168" s="8"/>
      <c r="V168" s="8"/>
      <c r="W168" s="8"/>
      <c r="X168" s="8"/>
      <c r="Y168" s="8"/>
      <c r="Z168" s="8"/>
      <c r="AA168" s="8"/>
    </row>
    <row r="169" ht="14.25" customHeight="1" spans="1:27" x14ac:dyDescent="0.25">
      <c r="A169" s="8"/>
      <c r="B169" s="23"/>
      <c r="C169" s="23"/>
      <c r="D169" s="23"/>
      <c r="E169" s="23"/>
      <c r="F169" s="23"/>
      <c r="G169" s="8"/>
      <c r="H169" s="8"/>
      <c r="I169" s="8"/>
      <c r="J169" s="8"/>
      <c r="K169" s="8"/>
      <c r="L169" s="8"/>
      <c r="M169" s="8"/>
      <c r="N169" s="8"/>
      <c r="O169" s="8"/>
      <c r="P169" s="8"/>
      <c r="Q169" s="8"/>
      <c r="R169" s="8"/>
      <c r="S169" s="8"/>
      <c r="T169" s="8"/>
      <c r="U169" s="8"/>
      <c r="V169" s="8"/>
      <c r="W169" s="8"/>
      <c r="X169" s="8"/>
      <c r="Y169" s="8"/>
      <c r="Z169" s="8"/>
      <c r="AA169" s="8"/>
    </row>
    <row r="170" ht="14.25" customHeight="1" spans="1:27" x14ac:dyDescent="0.25">
      <c r="A170" s="8"/>
      <c r="B170" s="23"/>
      <c r="C170" s="23"/>
      <c r="D170" s="23"/>
      <c r="E170" s="23"/>
      <c r="F170" s="23"/>
      <c r="G170" s="8"/>
      <c r="H170" s="8"/>
      <c r="I170" s="8"/>
      <c r="J170" s="8"/>
      <c r="K170" s="8"/>
      <c r="L170" s="8"/>
      <c r="M170" s="8"/>
      <c r="N170" s="8"/>
      <c r="O170" s="8"/>
      <c r="P170" s="8"/>
      <c r="Q170" s="8"/>
      <c r="R170" s="8"/>
      <c r="S170" s="8"/>
      <c r="T170" s="8"/>
      <c r="U170" s="8"/>
      <c r="V170" s="8"/>
      <c r="W170" s="8"/>
      <c r="X170" s="8"/>
      <c r="Y170" s="8"/>
      <c r="Z170" s="8"/>
      <c r="AA170" s="8"/>
    </row>
    <row r="171" ht="14.25" customHeight="1" spans="1:27" x14ac:dyDescent="0.25">
      <c r="A171" s="8"/>
      <c r="B171" s="23"/>
      <c r="C171" s="23"/>
      <c r="D171" s="23"/>
      <c r="E171" s="23"/>
      <c r="F171" s="23"/>
      <c r="G171" s="8"/>
      <c r="H171" s="8"/>
      <c r="I171" s="8"/>
      <c r="J171" s="8"/>
      <c r="K171" s="8"/>
      <c r="L171" s="8"/>
      <c r="M171" s="8"/>
      <c r="N171" s="8"/>
      <c r="O171" s="8"/>
      <c r="P171" s="8"/>
      <c r="Q171" s="8"/>
      <c r="R171" s="8"/>
      <c r="S171" s="8"/>
      <c r="T171" s="8"/>
      <c r="U171" s="8"/>
      <c r="V171" s="8"/>
      <c r="W171" s="8"/>
      <c r="X171" s="8"/>
      <c r="Y171" s="8"/>
      <c r="Z171" s="8"/>
      <c r="AA171" s="8"/>
    </row>
    <row r="172" ht="14.25" customHeight="1" spans="1:27" x14ac:dyDescent="0.25">
      <c r="A172" s="8"/>
      <c r="B172" s="23"/>
      <c r="C172" s="23"/>
      <c r="D172" s="23"/>
      <c r="E172" s="23"/>
      <c r="F172" s="23"/>
      <c r="G172" s="8"/>
      <c r="H172" s="8"/>
      <c r="I172" s="8"/>
      <c r="J172" s="8"/>
      <c r="K172" s="8"/>
      <c r="L172" s="8"/>
      <c r="M172" s="8"/>
      <c r="N172" s="8"/>
      <c r="O172" s="8"/>
      <c r="P172" s="8"/>
      <c r="Q172" s="8"/>
      <c r="R172" s="8"/>
      <c r="S172" s="8"/>
      <c r="T172" s="8"/>
      <c r="U172" s="8"/>
      <c r="V172" s="8"/>
      <c r="W172" s="8"/>
      <c r="X172" s="8"/>
      <c r="Y172" s="8"/>
      <c r="Z172" s="8"/>
      <c r="AA172" s="8"/>
    </row>
    <row r="173" ht="14.25" customHeight="1" spans="1:27" x14ac:dyDescent="0.25">
      <c r="A173" s="8"/>
      <c r="B173" s="23"/>
      <c r="C173" s="23"/>
      <c r="D173" s="23"/>
      <c r="E173" s="23"/>
      <c r="F173" s="23"/>
      <c r="G173" s="8"/>
      <c r="H173" s="8"/>
      <c r="I173" s="8"/>
      <c r="J173" s="8"/>
      <c r="K173" s="8"/>
      <c r="L173" s="8"/>
      <c r="M173" s="8"/>
      <c r="N173" s="8"/>
      <c r="O173" s="8"/>
      <c r="P173" s="8"/>
      <c r="Q173" s="8"/>
      <c r="R173" s="8"/>
      <c r="S173" s="8"/>
      <c r="T173" s="8"/>
      <c r="U173" s="8"/>
      <c r="V173" s="8"/>
      <c r="W173" s="8"/>
      <c r="X173" s="8"/>
      <c r="Y173" s="8"/>
      <c r="Z173" s="8"/>
      <c r="AA173" s="8"/>
    </row>
    <row r="174" ht="14.25" customHeight="1" spans="1:27" x14ac:dyDescent="0.25">
      <c r="A174" s="8"/>
      <c r="B174" s="23"/>
      <c r="C174" s="23"/>
      <c r="D174" s="23"/>
      <c r="E174" s="23"/>
      <c r="F174" s="23"/>
      <c r="G174" s="8"/>
      <c r="H174" s="8"/>
      <c r="I174" s="8"/>
      <c r="J174" s="8"/>
      <c r="K174" s="8"/>
      <c r="L174" s="8"/>
      <c r="M174" s="8"/>
      <c r="N174" s="8"/>
      <c r="O174" s="8"/>
      <c r="P174" s="8"/>
      <c r="Q174" s="8"/>
      <c r="R174" s="8"/>
      <c r="S174" s="8"/>
      <c r="T174" s="8"/>
      <c r="U174" s="8"/>
      <c r="V174" s="8"/>
      <c r="W174" s="8"/>
      <c r="X174" s="8"/>
      <c r="Y174" s="8"/>
      <c r="Z174" s="8"/>
      <c r="AA174" s="8"/>
    </row>
    <row r="175" ht="14.25" customHeight="1" spans="1:27" x14ac:dyDescent="0.25">
      <c r="A175" s="8"/>
      <c r="B175" s="23"/>
      <c r="C175" s="23"/>
      <c r="D175" s="23"/>
      <c r="E175" s="23"/>
      <c r="F175" s="23"/>
      <c r="G175" s="8"/>
      <c r="H175" s="8"/>
      <c r="I175" s="8"/>
      <c r="J175" s="8"/>
      <c r="K175" s="8"/>
      <c r="L175" s="8"/>
      <c r="M175" s="8"/>
      <c r="N175" s="8"/>
      <c r="O175" s="8"/>
      <c r="P175" s="8"/>
      <c r="Q175" s="8"/>
      <c r="R175" s="8"/>
      <c r="S175" s="8"/>
      <c r="T175" s="8"/>
      <c r="U175" s="8"/>
      <c r="V175" s="8"/>
      <c r="W175" s="8"/>
      <c r="X175" s="8"/>
      <c r="Y175" s="8"/>
      <c r="Z175" s="8"/>
      <c r="AA175" s="8"/>
    </row>
    <row r="176" ht="14.25" customHeight="1" spans="1:27" x14ac:dyDescent="0.25">
      <c r="A176" s="8"/>
      <c r="B176" s="23"/>
      <c r="C176" s="23"/>
      <c r="D176" s="23"/>
      <c r="E176" s="23"/>
      <c r="F176" s="23"/>
      <c r="G176" s="8"/>
      <c r="H176" s="8"/>
      <c r="I176" s="8"/>
      <c r="J176" s="8"/>
      <c r="K176" s="8"/>
      <c r="L176" s="8"/>
      <c r="M176" s="8"/>
      <c r="N176" s="8"/>
      <c r="O176" s="8"/>
      <c r="P176" s="8"/>
      <c r="Q176" s="8"/>
      <c r="R176" s="8"/>
      <c r="S176" s="8"/>
      <c r="T176" s="8"/>
      <c r="U176" s="8"/>
      <c r="V176" s="8"/>
      <c r="W176" s="8"/>
      <c r="X176" s="8"/>
      <c r="Y176" s="8"/>
      <c r="Z176" s="8"/>
      <c r="AA176" s="8"/>
    </row>
    <row r="177" ht="14.25" customHeight="1" spans="1:27" x14ac:dyDescent="0.25">
      <c r="A177" s="8"/>
      <c r="B177" s="23"/>
      <c r="C177" s="23"/>
      <c r="D177" s="23"/>
      <c r="E177" s="23"/>
      <c r="F177" s="23"/>
      <c r="G177" s="8"/>
      <c r="H177" s="8"/>
      <c r="I177" s="8"/>
      <c r="J177" s="8"/>
      <c r="K177" s="8"/>
      <c r="L177" s="8"/>
      <c r="M177" s="8"/>
      <c r="N177" s="8"/>
      <c r="O177" s="8"/>
      <c r="P177" s="8"/>
      <c r="Q177" s="8"/>
      <c r="R177" s="8"/>
      <c r="S177" s="8"/>
      <c r="T177" s="8"/>
      <c r="U177" s="8"/>
      <c r="V177" s="8"/>
      <c r="W177" s="8"/>
      <c r="X177" s="8"/>
      <c r="Y177" s="8"/>
      <c r="Z177" s="8"/>
      <c r="AA177" s="8"/>
    </row>
    <row r="178" ht="14.25" customHeight="1" spans="1:27" x14ac:dyDescent="0.25">
      <c r="A178" s="8"/>
      <c r="B178" s="23"/>
      <c r="C178" s="23"/>
      <c r="D178" s="23"/>
      <c r="E178" s="23"/>
      <c r="F178" s="23"/>
      <c r="G178" s="8"/>
      <c r="H178" s="8"/>
      <c r="I178" s="8"/>
      <c r="J178" s="8"/>
      <c r="K178" s="8"/>
      <c r="L178" s="8"/>
      <c r="M178" s="8"/>
      <c r="N178" s="8"/>
      <c r="O178" s="8"/>
      <c r="P178" s="8"/>
      <c r="Q178" s="8"/>
      <c r="R178" s="8"/>
      <c r="S178" s="8"/>
      <c r="T178" s="8"/>
      <c r="U178" s="8"/>
      <c r="V178" s="8"/>
      <c r="W178" s="8"/>
      <c r="X178" s="8"/>
      <c r="Y178" s="8"/>
      <c r="Z178" s="8"/>
      <c r="AA178" s="8"/>
    </row>
    <row r="179" ht="14.25" customHeight="1" spans="1:27" x14ac:dyDescent="0.25">
      <c r="A179" s="8"/>
      <c r="B179" s="23"/>
      <c r="C179" s="23"/>
      <c r="D179" s="23"/>
      <c r="E179" s="23"/>
      <c r="F179" s="23"/>
      <c r="G179" s="8"/>
      <c r="H179" s="8"/>
      <c r="I179" s="8"/>
      <c r="J179" s="8"/>
      <c r="K179" s="8"/>
      <c r="L179" s="8"/>
      <c r="M179" s="8"/>
      <c r="N179" s="8"/>
      <c r="O179" s="8"/>
      <c r="P179" s="8"/>
      <c r="Q179" s="8"/>
      <c r="R179" s="8"/>
      <c r="S179" s="8"/>
      <c r="T179" s="8"/>
      <c r="U179" s="8"/>
      <c r="V179" s="8"/>
      <c r="W179" s="8"/>
      <c r="X179" s="8"/>
      <c r="Y179" s="8"/>
      <c r="Z179" s="8"/>
      <c r="AA179" s="8"/>
    </row>
    <row r="180" ht="14.25" customHeight="1" spans="1:27" x14ac:dyDescent="0.25">
      <c r="A180" s="8"/>
      <c r="B180" s="23"/>
      <c r="C180" s="23"/>
      <c r="D180" s="23"/>
      <c r="E180" s="23"/>
      <c r="F180" s="23"/>
      <c r="G180" s="8"/>
      <c r="H180" s="8"/>
      <c r="I180" s="8"/>
      <c r="J180" s="8"/>
      <c r="K180" s="8"/>
      <c r="L180" s="8"/>
      <c r="M180" s="8"/>
      <c r="N180" s="8"/>
      <c r="O180" s="8"/>
      <c r="P180" s="8"/>
      <c r="Q180" s="8"/>
      <c r="R180" s="8"/>
      <c r="S180" s="8"/>
      <c r="T180" s="8"/>
      <c r="U180" s="8"/>
      <c r="V180" s="8"/>
      <c r="W180" s="8"/>
      <c r="X180" s="8"/>
      <c r="Y180" s="8"/>
      <c r="Z180" s="8"/>
      <c r="AA180" s="8"/>
    </row>
    <row r="181" ht="14.25" customHeight="1" spans="1:27" x14ac:dyDescent="0.25">
      <c r="A181" s="8"/>
      <c r="B181" s="23"/>
      <c r="C181" s="23"/>
      <c r="D181" s="23"/>
      <c r="E181" s="23"/>
      <c r="F181" s="23"/>
      <c r="G181" s="8"/>
      <c r="H181" s="8"/>
      <c r="I181" s="8"/>
      <c r="J181" s="8"/>
      <c r="K181" s="8"/>
      <c r="L181" s="8"/>
      <c r="M181" s="8"/>
      <c r="N181" s="8"/>
      <c r="O181" s="8"/>
      <c r="P181" s="8"/>
      <c r="Q181" s="8"/>
      <c r="R181" s="8"/>
      <c r="S181" s="8"/>
      <c r="T181" s="8"/>
      <c r="U181" s="8"/>
      <c r="V181" s="8"/>
      <c r="W181" s="8"/>
      <c r="X181" s="8"/>
      <c r="Y181" s="8"/>
      <c r="Z181" s="8"/>
      <c r="AA181" s="8"/>
    </row>
    <row r="182" ht="14.25" customHeight="1" spans="1:27" x14ac:dyDescent="0.25">
      <c r="A182" s="8"/>
      <c r="B182" s="23"/>
      <c r="C182" s="23"/>
      <c r="D182" s="23"/>
      <c r="E182" s="23"/>
      <c r="F182" s="23"/>
      <c r="G182" s="8"/>
      <c r="H182" s="8"/>
      <c r="I182" s="8"/>
      <c r="J182" s="8"/>
      <c r="K182" s="8"/>
      <c r="L182" s="8"/>
      <c r="M182" s="8"/>
      <c r="N182" s="8"/>
      <c r="O182" s="8"/>
      <c r="P182" s="8"/>
      <c r="Q182" s="8"/>
      <c r="R182" s="8"/>
      <c r="S182" s="8"/>
      <c r="T182" s="8"/>
      <c r="U182" s="8"/>
      <c r="V182" s="8"/>
      <c r="W182" s="8"/>
      <c r="X182" s="8"/>
      <c r="Y182" s="8"/>
      <c r="Z182" s="8"/>
      <c r="AA182" s="8"/>
    </row>
    <row r="183" ht="14.25" customHeight="1" spans="1:27" x14ac:dyDescent="0.25">
      <c r="A183" s="8"/>
      <c r="B183" s="23"/>
      <c r="C183" s="23"/>
      <c r="D183" s="23"/>
      <c r="E183" s="23"/>
      <c r="F183" s="23"/>
      <c r="G183" s="8"/>
      <c r="H183" s="8"/>
      <c r="I183" s="8"/>
      <c r="J183" s="8"/>
      <c r="K183" s="8"/>
      <c r="L183" s="8"/>
      <c r="M183" s="8"/>
      <c r="N183" s="8"/>
      <c r="O183" s="8"/>
      <c r="P183" s="8"/>
      <c r="Q183" s="8"/>
      <c r="R183" s="8"/>
      <c r="S183" s="8"/>
      <c r="T183" s="8"/>
      <c r="U183" s="8"/>
      <c r="V183" s="8"/>
      <c r="W183" s="8"/>
      <c r="X183" s="8"/>
      <c r="Y183" s="8"/>
      <c r="Z183" s="8"/>
      <c r="AA183" s="8"/>
    </row>
    <row r="184" ht="14.25" customHeight="1" spans="1:27" x14ac:dyDescent="0.25">
      <c r="A184" s="8"/>
      <c r="B184" s="23"/>
      <c r="C184" s="23"/>
      <c r="D184" s="23"/>
      <c r="E184" s="23"/>
      <c r="F184" s="23"/>
      <c r="G184" s="8"/>
      <c r="H184" s="8"/>
      <c r="I184" s="8"/>
      <c r="J184" s="8"/>
      <c r="K184" s="8"/>
      <c r="L184" s="8"/>
      <c r="M184" s="8"/>
      <c r="N184" s="8"/>
      <c r="O184" s="8"/>
      <c r="P184" s="8"/>
      <c r="Q184" s="8"/>
      <c r="R184" s="8"/>
      <c r="S184" s="8"/>
      <c r="T184" s="8"/>
      <c r="U184" s="8"/>
      <c r="V184" s="8"/>
      <c r="W184" s="8"/>
      <c r="X184" s="8"/>
      <c r="Y184" s="8"/>
      <c r="Z184" s="8"/>
      <c r="AA184" s="8"/>
    </row>
    <row r="185" ht="14.25" customHeight="1" spans="1:27" x14ac:dyDescent="0.25">
      <c r="A185" s="8"/>
      <c r="B185" s="23"/>
      <c r="C185" s="23"/>
      <c r="D185" s="23"/>
      <c r="E185" s="23"/>
      <c r="F185" s="23"/>
      <c r="G185" s="8"/>
      <c r="H185" s="8"/>
      <c r="I185" s="8"/>
      <c r="J185" s="8"/>
      <c r="K185" s="8"/>
      <c r="L185" s="8"/>
      <c r="M185" s="8"/>
      <c r="N185" s="8"/>
      <c r="O185" s="8"/>
      <c r="P185" s="8"/>
      <c r="Q185" s="8"/>
      <c r="R185" s="8"/>
      <c r="S185" s="8"/>
      <c r="T185" s="8"/>
      <c r="U185" s="8"/>
      <c r="V185" s="8"/>
      <c r="W185" s="8"/>
      <c r="X185" s="8"/>
      <c r="Y185" s="8"/>
      <c r="Z185" s="8"/>
      <c r="AA185" s="8"/>
    </row>
    <row r="186" ht="14.25" customHeight="1" spans="1:27" x14ac:dyDescent="0.25">
      <c r="A186" s="8"/>
      <c r="B186" s="23"/>
      <c r="C186" s="23"/>
      <c r="D186" s="23"/>
      <c r="E186" s="23"/>
      <c r="F186" s="23"/>
      <c r="G186" s="8"/>
      <c r="H186" s="8"/>
      <c r="I186" s="8"/>
      <c r="J186" s="8"/>
      <c r="K186" s="8"/>
      <c r="L186" s="8"/>
      <c r="M186" s="8"/>
      <c r="N186" s="8"/>
      <c r="O186" s="8"/>
      <c r="P186" s="8"/>
      <c r="Q186" s="8"/>
      <c r="R186" s="8"/>
      <c r="S186" s="8"/>
      <c r="T186" s="8"/>
      <c r="U186" s="8"/>
      <c r="V186" s="8"/>
      <c r="W186" s="8"/>
      <c r="X186" s="8"/>
      <c r="Y186" s="8"/>
      <c r="Z186" s="8"/>
      <c r="AA186" s="8"/>
    </row>
    <row r="187" ht="14.25" customHeight="1" spans="1:27" x14ac:dyDescent="0.25">
      <c r="A187" s="8"/>
      <c r="B187" s="23"/>
      <c r="C187" s="23"/>
      <c r="D187" s="23"/>
      <c r="E187" s="23"/>
      <c r="F187" s="23"/>
      <c r="G187" s="8"/>
      <c r="H187" s="8"/>
      <c r="I187" s="8"/>
      <c r="J187" s="8"/>
      <c r="K187" s="8"/>
      <c r="L187" s="8"/>
      <c r="M187" s="8"/>
      <c r="N187" s="8"/>
      <c r="O187" s="8"/>
      <c r="P187" s="8"/>
      <c r="Q187" s="8"/>
      <c r="R187" s="8"/>
      <c r="S187" s="8"/>
      <c r="T187" s="8"/>
      <c r="U187" s="8"/>
      <c r="V187" s="8"/>
      <c r="W187" s="8"/>
      <c r="X187" s="8"/>
      <c r="Y187" s="8"/>
      <c r="Z187" s="8"/>
      <c r="AA187" s="8"/>
    </row>
    <row r="188" ht="14.25" customHeight="1" spans="1:27" x14ac:dyDescent="0.25">
      <c r="A188" s="8"/>
      <c r="B188" s="23"/>
      <c r="C188" s="23"/>
      <c r="D188" s="23"/>
      <c r="E188" s="23"/>
      <c r="F188" s="23"/>
      <c r="G188" s="8"/>
      <c r="H188" s="8"/>
      <c r="I188" s="8"/>
      <c r="J188" s="8"/>
      <c r="K188" s="8"/>
      <c r="L188" s="8"/>
      <c r="M188" s="8"/>
      <c r="N188" s="8"/>
      <c r="O188" s="8"/>
      <c r="P188" s="8"/>
      <c r="Q188" s="8"/>
      <c r="R188" s="8"/>
      <c r="S188" s="8"/>
      <c r="T188" s="8"/>
      <c r="U188" s="8"/>
      <c r="V188" s="8"/>
      <c r="W188" s="8"/>
      <c r="X188" s="8"/>
      <c r="Y188" s="8"/>
      <c r="Z188" s="8"/>
      <c r="AA188" s="8"/>
    </row>
    <row r="189" ht="14.25" customHeight="1" spans="1:27" x14ac:dyDescent="0.25">
      <c r="A189" s="8"/>
      <c r="B189" s="23"/>
      <c r="C189" s="23"/>
      <c r="D189" s="23"/>
      <c r="E189" s="23"/>
      <c r="F189" s="23"/>
      <c r="G189" s="8"/>
      <c r="H189" s="8"/>
      <c r="I189" s="8"/>
      <c r="J189" s="8"/>
      <c r="K189" s="8"/>
      <c r="L189" s="8"/>
      <c r="M189" s="8"/>
      <c r="N189" s="8"/>
      <c r="O189" s="8"/>
      <c r="P189" s="8"/>
      <c r="Q189" s="8"/>
      <c r="R189" s="8"/>
      <c r="S189" s="8"/>
      <c r="T189" s="8"/>
      <c r="U189" s="8"/>
      <c r="V189" s="8"/>
      <c r="W189" s="8"/>
      <c r="X189" s="8"/>
      <c r="Y189" s="8"/>
      <c r="Z189" s="8"/>
      <c r="AA189" s="8"/>
    </row>
    <row r="190" ht="14.25" customHeight="1" spans="1:27" x14ac:dyDescent="0.25">
      <c r="A190" s="8"/>
      <c r="B190" s="23"/>
      <c r="C190" s="23"/>
      <c r="D190" s="23"/>
      <c r="E190" s="23"/>
      <c r="F190" s="23"/>
      <c r="G190" s="8"/>
      <c r="H190" s="8"/>
      <c r="I190" s="8"/>
      <c r="J190" s="8"/>
      <c r="K190" s="8"/>
      <c r="L190" s="8"/>
      <c r="M190" s="8"/>
      <c r="N190" s="8"/>
      <c r="O190" s="8"/>
      <c r="P190" s="8"/>
      <c r="Q190" s="8"/>
      <c r="R190" s="8"/>
      <c r="S190" s="8"/>
      <c r="T190" s="8"/>
      <c r="U190" s="8"/>
      <c r="V190" s="8"/>
      <c r="W190" s="8"/>
      <c r="X190" s="8"/>
      <c r="Y190" s="8"/>
      <c r="Z190" s="8"/>
      <c r="AA190" s="8"/>
    </row>
    <row r="191" ht="14.25" customHeight="1" spans="1:27" x14ac:dyDescent="0.25">
      <c r="A191" s="8"/>
      <c r="B191" s="23"/>
      <c r="C191" s="23"/>
      <c r="D191" s="23"/>
      <c r="E191" s="23"/>
      <c r="F191" s="23"/>
      <c r="G191" s="8"/>
      <c r="H191" s="8"/>
      <c r="I191" s="8"/>
      <c r="J191" s="8"/>
      <c r="K191" s="8"/>
      <c r="L191" s="8"/>
      <c r="M191" s="8"/>
      <c r="N191" s="8"/>
      <c r="O191" s="8"/>
      <c r="P191" s="8"/>
      <c r="Q191" s="8"/>
      <c r="R191" s="8"/>
      <c r="S191" s="8"/>
      <c r="T191" s="8"/>
      <c r="U191" s="8"/>
      <c r="V191" s="8"/>
      <c r="W191" s="8"/>
      <c r="X191" s="8"/>
      <c r="Y191" s="8"/>
      <c r="Z191" s="8"/>
      <c r="AA191" s="8"/>
    </row>
    <row r="192" ht="14.25" customHeight="1" spans="1:27" x14ac:dyDescent="0.25">
      <c r="A192" s="8"/>
      <c r="B192" s="23"/>
      <c r="C192" s="23"/>
      <c r="D192" s="23"/>
      <c r="E192" s="23"/>
      <c r="F192" s="23"/>
      <c r="G192" s="8"/>
      <c r="H192" s="8"/>
      <c r="I192" s="8"/>
      <c r="J192" s="8"/>
      <c r="K192" s="8"/>
      <c r="L192" s="8"/>
      <c r="M192" s="8"/>
      <c r="N192" s="8"/>
      <c r="O192" s="8"/>
      <c r="P192" s="8"/>
      <c r="Q192" s="8"/>
      <c r="R192" s="8"/>
      <c r="S192" s="8"/>
      <c r="T192" s="8"/>
      <c r="U192" s="8"/>
      <c r="V192" s="8"/>
      <c r="W192" s="8"/>
      <c r="X192" s="8"/>
      <c r="Y192" s="8"/>
      <c r="Z192" s="8"/>
      <c r="AA192" s="8"/>
    </row>
    <row r="193" ht="14.25" customHeight="1" spans="1:27" x14ac:dyDescent="0.25">
      <c r="A193" s="8"/>
      <c r="B193" s="23"/>
      <c r="C193" s="23"/>
      <c r="D193" s="23"/>
      <c r="E193" s="23"/>
      <c r="F193" s="23"/>
      <c r="G193" s="8"/>
      <c r="H193" s="8"/>
      <c r="I193" s="8"/>
      <c r="J193" s="8"/>
      <c r="K193" s="8"/>
      <c r="L193" s="8"/>
      <c r="M193" s="8"/>
      <c r="N193" s="8"/>
      <c r="O193" s="8"/>
      <c r="P193" s="8"/>
      <c r="Q193" s="8"/>
      <c r="R193" s="8"/>
      <c r="S193" s="8"/>
      <c r="T193" s="8"/>
      <c r="U193" s="8"/>
      <c r="V193" s="8"/>
      <c r="W193" s="8"/>
      <c r="X193" s="8"/>
      <c r="Y193" s="8"/>
      <c r="Z193" s="8"/>
      <c r="AA193" s="8"/>
    </row>
    <row r="194" ht="14.25" customHeight="1" spans="1:27" x14ac:dyDescent="0.25">
      <c r="A194" s="8"/>
      <c r="B194" s="23"/>
      <c r="C194" s="23"/>
      <c r="D194" s="23"/>
      <c r="E194" s="23"/>
      <c r="F194" s="23"/>
      <c r="G194" s="8"/>
      <c r="H194" s="8"/>
      <c r="I194" s="8"/>
      <c r="J194" s="8"/>
      <c r="K194" s="8"/>
      <c r="L194" s="8"/>
      <c r="M194" s="8"/>
      <c r="N194" s="8"/>
      <c r="O194" s="8"/>
      <c r="P194" s="8"/>
      <c r="Q194" s="8"/>
      <c r="R194" s="8"/>
      <c r="S194" s="8"/>
      <c r="T194" s="8"/>
      <c r="U194" s="8"/>
      <c r="V194" s="8"/>
      <c r="W194" s="8"/>
      <c r="X194" s="8"/>
      <c r="Y194" s="8"/>
      <c r="Z194" s="8"/>
      <c r="AA194" s="8"/>
    </row>
    <row r="195" ht="14.25" customHeight="1" spans="1:27" x14ac:dyDescent="0.25">
      <c r="A195" s="8"/>
      <c r="B195" s="23"/>
      <c r="C195" s="23"/>
      <c r="D195" s="23"/>
      <c r="E195" s="23"/>
      <c r="F195" s="23"/>
      <c r="G195" s="8"/>
      <c r="H195" s="8"/>
      <c r="I195" s="8"/>
      <c r="J195" s="8"/>
      <c r="K195" s="8"/>
      <c r="L195" s="8"/>
      <c r="M195" s="8"/>
      <c r="N195" s="8"/>
      <c r="O195" s="8"/>
      <c r="P195" s="8"/>
      <c r="Q195" s="8"/>
      <c r="R195" s="8"/>
      <c r="S195" s="8"/>
      <c r="T195" s="8"/>
      <c r="U195" s="8"/>
      <c r="V195" s="8"/>
      <c r="W195" s="8"/>
      <c r="X195" s="8"/>
      <c r="Y195" s="8"/>
      <c r="Z195" s="8"/>
      <c r="AA195" s="8"/>
    </row>
    <row r="196" ht="14.25" customHeight="1" spans="1:27" x14ac:dyDescent="0.25">
      <c r="A196" s="8"/>
      <c r="B196" s="23"/>
      <c r="C196" s="23"/>
      <c r="D196" s="23"/>
      <c r="E196" s="23"/>
      <c r="F196" s="23"/>
      <c r="G196" s="8"/>
      <c r="H196" s="8"/>
      <c r="I196" s="8"/>
      <c r="J196" s="8"/>
      <c r="K196" s="8"/>
      <c r="L196" s="8"/>
      <c r="M196" s="8"/>
      <c r="N196" s="8"/>
      <c r="O196" s="8"/>
      <c r="P196" s="8"/>
      <c r="Q196" s="8"/>
      <c r="R196" s="8"/>
      <c r="S196" s="8"/>
      <c r="T196" s="8"/>
      <c r="U196" s="8"/>
      <c r="V196" s="8"/>
      <c r="W196" s="8"/>
      <c r="X196" s="8"/>
      <c r="Y196" s="8"/>
      <c r="Z196" s="8"/>
      <c r="AA196" s="8"/>
    </row>
    <row r="197" ht="14.25" customHeight="1" spans="1:27" x14ac:dyDescent="0.25">
      <c r="A197" s="8"/>
      <c r="B197" s="23"/>
      <c r="C197" s="23"/>
      <c r="D197" s="23"/>
      <c r="E197" s="23"/>
      <c r="F197" s="23"/>
      <c r="G197" s="8"/>
      <c r="H197" s="8"/>
      <c r="I197" s="8"/>
      <c r="J197" s="8"/>
      <c r="K197" s="8"/>
      <c r="L197" s="8"/>
      <c r="M197" s="8"/>
      <c r="N197" s="8"/>
      <c r="O197" s="8"/>
      <c r="P197" s="8"/>
      <c r="Q197" s="8"/>
      <c r="R197" s="8"/>
      <c r="S197" s="8"/>
      <c r="T197" s="8"/>
      <c r="U197" s="8"/>
      <c r="V197" s="8"/>
      <c r="W197" s="8"/>
      <c r="X197" s="8"/>
      <c r="Y197" s="8"/>
      <c r="Z197" s="8"/>
      <c r="AA197" s="8"/>
    </row>
    <row r="198" ht="14.25" customHeight="1" spans="1:27" x14ac:dyDescent="0.25">
      <c r="A198" s="8"/>
      <c r="B198" s="23"/>
      <c r="C198" s="23"/>
      <c r="D198" s="23"/>
      <c r="E198" s="23"/>
      <c r="F198" s="23"/>
      <c r="G198" s="8"/>
      <c r="H198" s="8"/>
      <c r="I198" s="8"/>
      <c r="J198" s="8"/>
      <c r="K198" s="8"/>
      <c r="L198" s="8"/>
      <c r="M198" s="8"/>
      <c r="N198" s="8"/>
      <c r="O198" s="8"/>
      <c r="P198" s="8"/>
      <c r="Q198" s="8"/>
      <c r="R198" s="8"/>
      <c r="S198" s="8"/>
      <c r="T198" s="8"/>
      <c r="U198" s="8"/>
      <c r="V198" s="8"/>
      <c r="W198" s="8"/>
      <c r="X198" s="8"/>
      <c r="Y198" s="8"/>
      <c r="Z198" s="8"/>
      <c r="AA198" s="8"/>
    </row>
    <row r="199" ht="14.25" customHeight="1" spans="1:27" x14ac:dyDescent="0.25">
      <c r="A199" s="8"/>
      <c r="B199" s="23"/>
      <c r="C199" s="23"/>
      <c r="D199" s="23"/>
      <c r="E199" s="23"/>
      <c r="F199" s="23"/>
      <c r="G199" s="8"/>
      <c r="H199" s="8"/>
      <c r="I199" s="8"/>
      <c r="J199" s="8"/>
      <c r="K199" s="8"/>
      <c r="L199" s="8"/>
      <c r="M199" s="8"/>
      <c r="N199" s="8"/>
      <c r="O199" s="8"/>
      <c r="P199" s="8"/>
      <c r="Q199" s="8"/>
      <c r="R199" s="8"/>
      <c r="S199" s="8"/>
      <c r="T199" s="8"/>
      <c r="U199" s="8"/>
      <c r="V199" s="8"/>
      <c r="W199" s="8"/>
      <c r="X199" s="8"/>
      <c r="Y199" s="8"/>
      <c r="Z199" s="8"/>
      <c r="AA199" s="8"/>
    </row>
    <row r="200" ht="14.25" customHeight="1" spans="1:27" x14ac:dyDescent="0.25">
      <c r="A200" s="8"/>
      <c r="B200" s="23"/>
      <c r="C200" s="23"/>
      <c r="D200" s="23"/>
      <c r="E200" s="23"/>
      <c r="F200" s="23"/>
      <c r="G200" s="8"/>
      <c r="H200" s="8"/>
      <c r="I200" s="8"/>
      <c r="J200" s="8"/>
      <c r="K200" s="8"/>
      <c r="L200" s="8"/>
      <c r="M200" s="8"/>
      <c r="N200" s="8"/>
      <c r="O200" s="8"/>
      <c r="P200" s="8"/>
      <c r="Q200" s="8"/>
      <c r="R200" s="8"/>
      <c r="S200" s="8"/>
      <c r="T200" s="8"/>
      <c r="U200" s="8"/>
      <c r="V200" s="8"/>
      <c r="W200" s="8"/>
      <c r="X200" s="8"/>
      <c r="Y200" s="8"/>
      <c r="Z200" s="8"/>
      <c r="AA200" s="8"/>
    </row>
    <row r="201" ht="14.25" customHeight="1" spans="1:27" x14ac:dyDescent="0.25">
      <c r="A201" s="8"/>
      <c r="B201" s="23"/>
      <c r="C201" s="23"/>
      <c r="D201" s="23"/>
      <c r="E201" s="23"/>
      <c r="F201" s="23"/>
      <c r="G201" s="8"/>
      <c r="H201" s="8"/>
      <c r="I201" s="8"/>
      <c r="J201" s="8"/>
      <c r="K201" s="8"/>
      <c r="L201" s="8"/>
      <c r="M201" s="8"/>
      <c r="N201" s="8"/>
      <c r="O201" s="8"/>
      <c r="P201" s="8"/>
      <c r="Q201" s="8"/>
      <c r="R201" s="8"/>
      <c r="S201" s="8"/>
      <c r="T201" s="8"/>
      <c r="U201" s="8"/>
      <c r="V201" s="8"/>
      <c r="W201" s="8"/>
      <c r="X201" s="8"/>
      <c r="Y201" s="8"/>
      <c r="Z201" s="8"/>
      <c r="AA201" s="8"/>
    </row>
    <row r="202" ht="14.25" customHeight="1" spans="1:27" x14ac:dyDescent="0.25">
      <c r="A202" s="8"/>
      <c r="B202" s="23"/>
      <c r="C202" s="23"/>
      <c r="D202" s="23"/>
      <c r="E202" s="23"/>
      <c r="F202" s="23"/>
      <c r="G202" s="8"/>
      <c r="H202" s="8"/>
      <c r="I202" s="8"/>
      <c r="J202" s="8"/>
      <c r="K202" s="8"/>
      <c r="L202" s="8"/>
      <c r="M202" s="8"/>
      <c r="N202" s="8"/>
      <c r="O202" s="8"/>
      <c r="P202" s="8"/>
      <c r="Q202" s="8"/>
      <c r="R202" s="8"/>
      <c r="S202" s="8"/>
      <c r="T202" s="8"/>
      <c r="U202" s="8"/>
      <c r="V202" s="8"/>
      <c r="W202" s="8"/>
      <c r="X202" s="8"/>
      <c r="Y202" s="8"/>
      <c r="Z202" s="8"/>
      <c r="AA202" s="8"/>
    </row>
    <row r="203" ht="14.25" customHeight="1" spans="1:27" x14ac:dyDescent="0.25">
      <c r="A203" s="8"/>
      <c r="B203" s="23"/>
      <c r="C203" s="23"/>
      <c r="D203" s="23"/>
      <c r="E203" s="23"/>
      <c r="F203" s="23"/>
      <c r="G203" s="8"/>
      <c r="H203" s="8"/>
      <c r="I203" s="8"/>
      <c r="J203" s="8"/>
      <c r="K203" s="8"/>
      <c r="L203" s="8"/>
      <c r="M203" s="8"/>
      <c r="N203" s="8"/>
      <c r="O203" s="8"/>
      <c r="P203" s="8"/>
      <c r="Q203" s="8"/>
      <c r="R203" s="8"/>
      <c r="S203" s="8"/>
      <c r="T203" s="8"/>
      <c r="U203" s="8"/>
      <c r="V203" s="8"/>
      <c r="W203" s="8"/>
      <c r="X203" s="8"/>
      <c r="Y203" s="8"/>
      <c r="Z203" s="8"/>
      <c r="AA203" s="8"/>
    </row>
    <row r="204" ht="14.25" customHeight="1" spans="1:27" x14ac:dyDescent="0.25">
      <c r="A204" s="8"/>
      <c r="B204" s="23"/>
      <c r="C204" s="23"/>
      <c r="D204" s="23"/>
      <c r="E204" s="23"/>
      <c r="F204" s="23"/>
      <c r="G204" s="8"/>
      <c r="H204" s="8"/>
      <c r="I204" s="8"/>
      <c r="J204" s="8"/>
      <c r="K204" s="8"/>
      <c r="L204" s="8"/>
      <c r="M204" s="8"/>
      <c r="N204" s="8"/>
      <c r="O204" s="8"/>
      <c r="P204" s="8"/>
      <c r="Q204" s="8"/>
      <c r="R204" s="8"/>
      <c r="S204" s="8"/>
      <c r="T204" s="8"/>
      <c r="U204" s="8"/>
      <c r="V204" s="8"/>
      <c r="W204" s="8"/>
      <c r="X204" s="8"/>
      <c r="Y204" s="8"/>
      <c r="Z204" s="8"/>
      <c r="AA204" s="8"/>
    </row>
    <row r="205" ht="14.25" customHeight="1" spans="1:27" x14ac:dyDescent="0.25">
      <c r="A205" s="8"/>
      <c r="B205" s="23"/>
      <c r="C205" s="23"/>
      <c r="D205" s="23"/>
      <c r="E205" s="23"/>
      <c r="F205" s="23"/>
      <c r="G205" s="8"/>
      <c r="H205" s="8"/>
      <c r="I205" s="8"/>
      <c r="J205" s="8"/>
      <c r="K205" s="8"/>
      <c r="L205" s="8"/>
      <c r="M205" s="8"/>
      <c r="N205" s="8"/>
      <c r="O205" s="8"/>
      <c r="P205" s="8"/>
      <c r="Q205" s="8"/>
      <c r="R205" s="8"/>
      <c r="S205" s="8"/>
      <c r="T205" s="8"/>
      <c r="U205" s="8"/>
      <c r="V205" s="8"/>
      <c r="W205" s="8"/>
      <c r="X205" s="8"/>
      <c r="Y205" s="8"/>
      <c r="Z205" s="8"/>
      <c r="AA205" s="8"/>
    </row>
    <row r="206" ht="14.25" customHeight="1" spans="1:27" x14ac:dyDescent="0.25">
      <c r="A206" s="8"/>
      <c r="B206" s="23"/>
      <c r="C206" s="23"/>
      <c r="D206" s="23"/>
      <c r="E206" s="23"/>
      <c r="F206" s="23"/>
      <c r="G206" s="8"/>
      <c r="H206" s="8"/>
      <c r="I206" s="8"/>
      <c r="J206" s="8"/>
      <c r="K206" s="8"/>
      <c r="L206" s="8"/>
      <c r="M206" s="8"/>
      <c r="N206" s="8"/>
      <c r="O206" s="8"/>
      <c r="P206" s="8"/>
      <c r="Q206" s="8"/>
      <c r="R206" s="8"/>
      <c r="S206" s="8"/>
      <c r="T206" s="8"/>
      <c r="U206" s="8"/>
      <c r="V206" s="8"/>
      <c r="W206" s="8"/>
      <c r="X206" s="8"/>
      <c r="Y206" s="8"/>
      <c r="Z206" s="8"/>
      <c r="AA206" s="8"/>
    </row>
    <row r="207" ht="14.25" customHeight="1" spans="1:27" x14ac:dyDescent="0.25">
      <c r="A207" s="8"/>
      <c r="B207" s="23"/>
      <c r="C207" s="23"/>
      <c r="D207" s="23"/>
      <c r="E207" s="23"/>
      <c r="F207" s="23"/>
      <c r="G207" s="8"/>
      <c r="H207" s="8"/>
      <c r="I207" s="8"/>
      <c r="J207" s="8"/>
      <c r="K207" s="8"/>
      <c r="L207" s="8"/>
      <c r="M207" s="8"/>
      <c r="N207" s="8"/>
      <c r="O207" s="8"/>
      <c r="P207" s="8"/>
      <c r="Q207" s="8"/>
      <c r="R207" s="8"/>
      <c r="S207" s="8"/>
      <c r="T207" s="8"/>
      <c r="U207" s="8"/>
      <c r="V207" s="8"/>
      <c r="W207" s="8"/>
      <c r="X207" s="8"/>
      <c r="Y207" s="8"/>
      <c r="Z207" s="8"/>
      <c r="AA207" s="8"/>
    </row>
    <row r="208" ht="14.25" customHeight="1" spans="1:27" x14ac:dyDescent="0.25">
      <c r="A208" s="8"/>
      <c r="B208" s="23"/>
      <c r="C208" s="23"/>
      <c r="D208" s="23"/>
      <c r="E208" s="23"/>
      <c r="F208" s="23"/>
      <c r="G208" s="8"/>
      <c r="H208" s="8"/>
      <c r="I208" s="8"/>
      <c r="J208" s="8"/>
      <c r="K208" s="8"/>
      <c r="L208" s="8"/>
      <c r="M208" s="8"/>
      <c r="N208" s="8"/>
      <c r="O208" s="8"/>
      <c r="P208" s="8"/>
      <c r="Q208" s="8"/>
      <c r="R208" s="8"/>
      <c r="S208" s="8"/>
      <c r="T208" s="8"/>
      <c r="U208" s="8"/>
      <c r="V208" s="8"/>
      <c r="W208" s="8"/>
      <c r="X208" s="8"/>
      <c r="Y208" s="8"/>
      <c r="Z208" s="8"/>
      <c r="AA208" s="8"/>
    </row>
    <row r="209" ht="14.25" customHeight="1" spans="1:27" x14ac:dyDescent="0.25">
      <c r="A209" s="8"/>
      <c r="B209" s="23"/>
      <c r="C209" s="23"/>
      <c r="D209" s="23"/>
      <c r="E209" s="23"/>
      <c r="F209" s="23"/>
      <c r="G209" s="8"/>
      <c r="H209" s="8"/>
      <c r="I209" s="8"/>
      <c r="J209" s="8"/>
      <c r="K209" s="8"/>
      <c r="L209" s="8"/>
      <c r="M209" s="8"/>
      <c r="N209" s="8"/>
      <c r="O209" s="8"/>
      <c r="P209" s="8"/>
      <c r="Q209" s="8"/>
      <c r="R209" s="8"/>
      <c r="S209" s="8"/>
      <c r="T209" s="8"/>
      <c r="U209" s="8"/>
      <c r="V209" s="8"/>
      <c r="W209" s="8"/>
      <c r="X209" s="8"/>
      <c r="Y209" s="8"/>
      <c r="Z209" s="8"/>
      <c r="AA209" s="8"/>
    </row>
    <row r="210" ht="14.25" customHeight="1" spans="1:27" x14ac:dyDescent="0.25">
      <c r="A210" s="8"/>
      <c r="B210" s="23"/>
      <c r="C210" s="23"/>
      <c r="D210" s="23"/>
      <c r="E210" s="23"/>
      <c r="F210" s="23"/>
      <c r="G210" s="8"/>
      <c r="H210" s="8"/>
      <c r="I210" s="8"/>
      <c r="J210" s="8"/>
      <c r="K210" s="8"/>
      <c r="L210" s="8"/>
      <c r="M210" s="8"/>
      <c r="N210" s="8"/>
      <c r="O210" s="8"/>
      <c r="P210" s="8"/>
      <c r="Q210" s="8"/>
      <c r="R210" s="8"/>
      <c r="S210" s="8"/>
      <c r="T210" s="8"/>
      <c r="U210" s="8"/>
      <c r="V210" s="8"/>
      <c r="W210" s="8"/>
      <c r="X210" s="8"/>
      <c r="Y210" s="8"/>
      <c r="Z210" s="8"/>
      <c r="AA210" s="8"/>
    </row>
    <row r="211" ht="14.25" customHeight="1" spans="1:27" x14ac:dyDescent="0.25">
      <c r="A211" s="8"/>
      <c r="B211" s="23"/>
      <c r="C211" s="23"/>
      <c r="D211" s="23"/>
      <c r="E211" s="23"/>
      <c r="F211" s="23"/>
      <c r="G211" s="8"/>
      <c r="H211" s="8"/>
      <c r="I211" s="8"/>
      <c r="J211" s="8"/>
      <c r="K211" s="8"/>
      <c r="L211" s="8"/>
      <c r="M211" s="8"/>
      <c r="N211" s="8"/>
      <c r="O211" s="8"/>
      <c r="P211" s="8"/>
      <c r="Q211" s="8"/>
      <c r="R211" s="8"/>
      <c r="S211" s="8"/>
      <c r="T211" s="8"/>
      <c r="U211" s="8"/>
      <c r="V211" s="8"/>
      <c r="W211" s="8"/>
      <c r="X211" s="8"/>
      <c r="Y211" s="8"/>
      <c r="Z211" s="8"/>
      <c r="AA211" s="8"/>
    </row>
    <row r="212" ht="14.25" customHeight="1" spans="1:27" x14ac:dyDescent="0.25">
      <c r="A212" s="8"/>
      <c r="B212" s="23"/>
      <c r="C212" s="23"/>
      <c r="D212" s="23"/>
      <c r="E212" s="23"/>
      <c r="F212" s="23"/>
      <c r="G212" s="8"/>
      <c r="H212" s="8"/>
      <c r="I212" s="8"/>
      <c r="J212" s="8"/>
      <c r="K212" s="8"/>
      <c r="L212" s="8"/>
      <c r="M212" s="8"/>
      <c r="N212" s="8"/>
      <c r="O212" s="8"/>
      <c r="P212" s="8"/>
      <c r="Q212" s="8"/>
      <c r="R212" s="8"/>
      <c r="S212" s="8"/>
      <c r="T212" s="8"/>
      <c r="U212" s="8"/>
      <c r="V212" s="8"/>
      <c r="W212" s="8"/>
      <c r="X212" s="8"/>
      <c r="Y212" s="8"/>
      <c r="Z212" s="8"/>
      <c r="AA212" s="8"/>
    </row>
    <row r="213" ht="14.25" customHeight="1" spans="1:27" x14ac:dyDescent="0.25">
      <c r="A213" s="8"/>
      <c r="B213" s="23"/>
      <c r="C213" s="23"/>
      <c r="D213" s="23"/>
      <c r="E213" s="23"/>
      <c r="F213" s="23"/>
      <c r="G213" s="8"/>
      <c r="H213" s="8"/>
      <c r="I213" s="8"/>
      <c r="J213" s="8"/>
      <c r="K213" s="8"/>
      <c r="L213" s="8"/>
      <c r="M213" s="8"/>
      <c r="N213" s="8"/>
      <c r="O213" s="8"/>
      <c r="P213" s="8"/>
      <c r="Q213" s="8"/>
      <c r="R213" s="8"/>
      <c r="S213" s="8"/>
      <c r="T213" s="8"/>
      <c r="U213" s="8"/>
      <c r="V213" s="8"/>
      <c r="W213" s="8"/>
      <c r="X213" s="8"/>
      <c r="Y213" s="8"/>
      <c r="Z213" s="8"/>
      <c r="AA213" s="8"/>
    </row>
    <row r="214" ht="14.25" customHeight="1" spans="1:27" x14ac:dyDescent="0.25">
      <c r="A214" s="8"/>
      <c r="B214" s="23"/>
      <c r="C214" s="23"/>
      <c r="D214" s="23"/>
      <c r="E214" s="23"/>
      <c r="F214" s="23"/>
      <c r="G214" s="8"/>
      <c r="H214" s="8"/>
      <c r="I214" s="8"/>
      <c r="J214" s="8"/>
      <c r="K214" s="8"/>
      <c r="L214" s="8"/>
      <c r="M214" s="8"/>
      <c r="N214" s="8"/>
      <c r="O214" s="8"/>
      <c r="P214" s="8"/>
      <c r="Q214" s="8"/>
      <c r="R214" s="8"/>
      <c r="S214" s="8"/>
      <c r="T214" s="8"/>
      <c r="U214" s="8"/>
      <c r="V214" s="8"/>
      <c r="W214" s="8"/>
      <c r="X214" s="8"/>
      <c r="Y214" s="8"/>
      <c r="Z214" s="8"/>
      <c r="AA214" s="8"/>
    </row>
    <row r="215" ht="14.25" customHeight="1" spans="1:27" x14ac:dyDescent="0.25">
      <c r="A215" s="8"/>
      <c r="B215" s="23"/>
      <c r="C215" s="23"/>
      <c r="D215" s="23"/>
      <c r="E215" s="23"/>
      <c r="F215" s="23"/>
      <c r="G215" s="8"/>
      <c r="H215" s="8"/>
      <c r="I215" s="8"/>
      <c r="J215" s="8"/>
      <c r="K215" s="8"/>
      <c r="L215" s="8"/>
      <c r="M215" s="8"/>
      <c r="N215" s="8"/>
      <c r="O215" s="8"/>
      <c r="P215" s="8"/>
      <c r="Q215" s="8"/>
      <c r="R215" s="8"/>
      <c r="S215" s="8"/>
      <c r="T215" s="8"/>
      <c r="U215" s="8"/>
      <c r="V215" s="8"/>
      <c r="W215" s="8"/>
      <c r="X215" s="8"/>
      <c r="Y215" s="8"/>
      <c r="Z215" s="8"/>
      <c r="AA215" s="8"/>
    </row>
    <row r="216" ht="14.25" customHeight="1" spans="1:27" x14ac:dyDescent="0.25">
      <c r="A216" s="8"/>
      <c r="B216" s="23"/>
      <c r="C216" s="23"/>
      <c r="D216" s="23"/>
      <c r="E216" s="23"/>
      <c r="F216" s="23"/>
      <c r="G216" s="8"/>
      <c r="H216" s="8"/>
      <c r="I216" s="8"/>
      <c r="J216" s="8"/>
      <c r="K216" s="8"/>
      <c r="L216" s="8"/>
      <c r="M216" s="8"/>
      <c r="N216" s="8"/>
      <c r="O216" s="8"/>
      <c r="P216" s="8"/>
      <c r="Q216" s="8"/>
      <c r="R216" s="8"/>
      <c r="S216" s="8"/>
      <c r="T216" s="8"/>
      <c r="U216" s="8"/>
      <c r="V216" s="8"/>
      <c r="W216" s="8"/>
      <c r="X216" s="8"/>
      <c r="Y216" s="8"/>
      <c r="Z216" s="8"/>
      <c r="AA216" s="8"/>
    </row>
    <row r="217" ht="14.25" customHeight="1" spans="1:27" x14ac:dyDescent="0.25">
      <c r="A217" s="8"/>
      <c r="B217" s="23"/>
      <c r="C217" s="23"/>
      <c r="D217" s="23"/>
      <c r="E217" s="23"/>
      <c r="F217" s="23"/>
      <c r="G217" s="8"/>
      <c r="H217" s="8"/>
      <c r="I217" s="8"/>
      <c r="J217" s="8"/>
      <c r="K217" s="8"/>
      <c r="L217" s="8"/>
      <c r="M217" s="8"/>
      <c r="N217" s="8"/>
      <c r="O217" s="8"/>
      <c r="P217" s="8"/>
      <c r="Q217" s="8"/>
      <c r="R217" s="8"/>
      <c r="S217" s="8"/>
      <c r="T217" s="8"/>
      <c r="U217" s="8"/>
      <c r="V217" s="8"/>
      <c r="W217" s="8"/>
      <c r="X217" s="8"/>
      <c r="Y217" s="8"/>
      <c r="Z217" s="8"/>
      <c r="AA217" s="8"/>
    </row>
    <row r="218" ht="14.25" customHeight="1" spans="1:27" x14ac:dyDescent="0.25">
      <c r="A218" s="8"/>
      <c r="B218" s="23"/>
      <c r="C218" s="23"/>
      <c r="D218" s="23"/>
      <c r="E218" s="23"/>
      <c r="F218" s="23"/>
      <c r="G218" s="8"/>
      <c r="H218" s="8"/>
      <c r="I218" s="8"/>
      <c r="J218" s="8"/>
      <c r="K218" s="8"/>
      <c r="L218" s="8"/>
      <c r="M218" s="8"/>
      <c r="N218" s="8"/>
      <c r="O218" s="8"/>
      <c r="P218" s="8"/>
      <c r="Q218" s="8"/>
      <c r="R218" s="8"/>
      <c r="S218" s="8"/>
      <c r="T218" s="8"/>
      <c r="U218" s="8"/>
      <c r="V218" s="8"/>
      <c r="W218" s="8"/>
      <c r="X218" s="8"/>
      <c r="Y218" s="8"/>
      <c r="Z218" s="8"/>
      <c r="AA218" s="8"/>
    </row>
    <row r="219" ht="14.25" customHeight="1" spans="1:27" x14ac:dyDescent="0.25">
      <c r="A219" s="8"/>
      <c r="B219" s="23"/>
      <c r="C219" s="23"/>
      <c r="D219" s="23"/>
      <c r="E219" s="23"/>
      <c r="F219" s="23"/>
      <c r="G219" s="8"/>
      <c r="H219" s="8"/>
      <c r="I219" s="8"/>
      <c r="J219" s="8"/>
      <c r="K219" s="8"/>
      <c r="L219" s="8"/>
      <c r="M219" s="8"/>
      <c r="N219" s="8"/>
      <c r="O219" s="8"/>
      <c r="P219" s="8"/>
      <c r="Q219" s="8"/>
      <c r="R219" s="8"/>
      <c r="S219" s="8"/>
      <c r="T219" s="8"/>
      <c r="U219" s="8"/>
      <c r="V219" s="8"/>
      <c r="W219" s="8"/>
      <c r="X219" s="8"/>
      <c r="Y219" s="8"/>
      <c r="Z219" s="8"/>
      <c r="AA219" s="8"/>
    </row>
    <row r="220" ht="14.25" customHeight="1" spans="1:27" x14ac:dyDescent="0.25">
      <c r="A220" s="8"/>
      <c r="B220" s="23"/>
      <c r="C220" s="23"/>
      <c r="D220" s="23"/>
      <c r="E220" s="23"/>
      <c r="F220" s="23"/>
      <c r="G220" s="8"/>
      <c r="H220" s="8"/>
      <c r="I220" s="8"/>
      <c r="J220" s="8"/>
      <c r="K220" s="8"/>
      <c r="L220" s="8"/>
      <c r="M220" s="8"/>
      <c r="N220" s="8"/>
      <c r="O220" s="8"/>
      <c r="P220" s="8"/>
      <c r="Q220" s="8"/>
      <c r="R220" s="8"/>
      <c r="S220" s="8"/>
      <c r="T220" s="8"/>
      <c r="U220" s="8"/>
      <c r="V220" s="8"/>
      <c r="W220" s="8"/>
      <c r="X220" s="8"/>
      <c r="Y220" s="8"/>
      <c r="Z220" s="8"/>
      <c r="AA220" s="8"/>
    </row>
    <row r="221" ht="14.25" customHeight="1" spans="1:27" x14ac:dyDescent="0.25">
      <c r="A221" s="8"/>
      <c r="B221" s="23"/>
      <c r="C221" s="23"/>
      <c r="D221" s="23"/>
      <c r="E221" s="23"/>
      <c r="F221" s="23"/>
      <c r="G221" s="8"/>
      <c r="H221" s="8"/>
      <c r="I221" s="8"/>
      <c r="J221" s="8"/>
      <c r="K221" s="8"/>
      <c r="L221" s="8"/>
      <c r="M221" s="8"/>
      <c r="N221" s="8"/>
      <c r="O221" s="8"/>
      <c r="P221" s="8"/>
      <c r="Q221" s="8"/>
      <c r="R221" s="8"/>
      <c r="S221" s="8"/>
      <c r="T221" s="8"/>
      <c r="U221" s="8"/>
      <c r="V221" s="8"/>
      <c r="W221" s="8"/>
      <c r="X221" s="8"/>
      <c r="Y221" s="8"/>
      <c r="Z221" s="8"/>
      <c r="AA221" s="8"/>
    </row>
    <row r="222" ht="14.25" customHeight="1" spans="1:27" x14ac:dyDescent="0.25">
      <c r="A222" s="8"/>
      <c r="B222" s="23"/>
      <c r="C222" s="23"/>
      <c r="D222" s="23"/>
      <c r="E222" s="23"/>
      <c r="F222" s="23"/>
      <c r="G222" s="8"/>
      <c r="H222" s="8"/>
      <c r="I222" s="8"/>
      <c r="J222" s="8"/>
      <c r="K222" s="8"/>
      <c r="L222" s="8"/>
      <c r="M222" s="8"/>
      <c r="N222" s="8"/>
      <c r="O222" s="8"/>
      <c r="P222" s="8"/>
      <c r="Q222" s="8"/>
      <c r="R222" s="8"/>
      <c r="S222" s="8"/>
      <c r="T222" s="8"/>
      <c r="U222" s="8"/>
      <c r="V222" s="8"/>
      <c r="W222" s="8"/>
      <c r="X222" s="8"/>
      <c r="Y222" s="8"/>
      <c r="Z222" s="8"/>
      <c r="AA222" s="8"/>
    </row>
    <row r="223" ht="14.25" customHeight="1" spans="1:27" x14ac:dyDescent="0.25">
      <c r="A223" s="8"/>
      <c r="B223" s="23"/>
      <c r="C223" s="23"/>
      <c r="D223" s="23"/>
      <c r="E223" s="23"/>
      <c r="F223" s="23"/>
      <c r="G223" s="8"/>
      <c r="H223" s="8"/>
      <c r="I223" s="8"/>
      <c r="J223" s="8"/>
      <c r="K223" s="8"/>
      <c r="L223" s="8"/>
      <c r="M223" s="8"/>
      <c r="N223" s="8"/>
      <c r="O223" s="8"/>
      <c r="P223" s="8"/>
      <c r="Q223" s="8"/>
      <c r="R223" s="8"/>
      <c r="S223" s="8"/>
      <c r="T223" s="8"/>
      <c r="U223" s="8"/>
      <c r="V223" s="8"/>
      <c r="W223" s="8"/>
      <c r="X223" s="8"/>
      <c r="Y223" s="8"/>
      <c r="Z223" s="8"/>
      <c r="AA223" s="8"/>
    </row>
    <row r="224" ht="14.25" customHeight="1" spans="1:27" x14ac:dyDescent="0.25">
      <c r="A224" s="8"/>
      <c r="B224" s="23"/>
      <c r="C224" s="23"/>
      <c r="D224" s="23"/>
      <c r="E224" s="23"/>
      <c r="F224" s="23"/>
      <c r="G224" s="8"/>
      <c r="H224" s="8"/>
      <c r="I224" s="8"/>
      <c r="J224" s="8"/>
      <c r="K224" s="8"/>
      <c r="L224" s="8"/>
      <c r="M224" s="8"/>
      <c r="N224" s="8"/>
      <c r="O224" s="8"/>
      <c r="P224" s="8"/>
      <c r="Q224" s="8"/>
      <c r="R224" s="8"/>
      <c r="S224" s="8"/>
      <c r="T224" s="8"/>
      <c r="U224" s="8"/>
      <c r="V224" s="8"/>
      <c r="W224" s="8"/>
      <c r="X224" s="8"/>
      <c r="Y224" s="8"/>
      <c r="Z224" s="8"/>
      <c r="AA224" s="8"/>
    </row>
    <row r="225" ht="14.25" customHeight="1" spans="1:27" x14ac:dyDescent="0.25">
      <c r="A225" s="8"/>
      <c r="B225" s="23"/>
      <c r="C225" s="23"/>
      <c r="D225" s="23"/>
      <c r="E225" s="23"/>
      <c r="F225" s="23"/>
      <c r="G225" s="8"/>
      <c r="H225" s="8"/>
      <c r="I225" s="8"/>
      <c r="J225" s="8"/>
      <c r="K225" s="8"/>
      <c r="L225" s="8"/>
      <c r="M225" s="8"/>
      <c r="N225" s="8"/>
      <c r="O225" s="8"/>
      <c r="P225" s="8"/>
      <c r="Q225" s="8"/>
      <c r="R225" s="8"/>
      <c r="S225" s="8"/>
      <c r="T225" s="8"/>
      <c r="U225" s="8"/>
      <c r="V225" s="8"/>
      <c r="W225" s="8"/>
      <c r="X225" s="8"/>
      <c r="Y225" s="8"/>
      <c r="Z225" s="8"/>
      <c r="AA225" s="8"/>
    </row>
    <row r="226" ht="14.25" customHeight="1" spans="1:27" x14ac:dyDescent="0.25">
      <c r="A226" s="8"/>
      <c r="B226" s="23"/>
      <c r="C226" s="23"/>
      <c r="D226" s="23"/>
      <c r="E226" s="23"/>
      <c r="F226" s="23"/>
      <c r="G226" s="8"/>
      <c r="H226" s="8"/>
      <c r="I226" s="8"/>
      <c r="J226" s="8"/>
      <c r="K226" s="8"/>
      <c r="L226" s="8"/>
      <c r="M226" s="8"/>
      <c r="N226" s="8"/>
      <c r="O226" s="8"/>
      <c r="P226" s="8"/>
      <c r="Q226" s="8"/>
      <c r="R226" s="8"/>
      <c r="S226" s="8"/>
      <c r="T226" s="8"/>
      <c r="U226" s="8"/>
      <c r="V226" s="8"/>
      <c r="W226" s="8"/>
      <c r="X226" s="8"/>
      <c r="Y226" s="8"/>
      <c r="Z226" s="8"/>
      <c r="AA226" s="8"/>
    </row>
    <row r="227" ht="14.25" customHeight="1" spans="1:27" x14ac:dyDescent="0.25">
      <c r="A227" s="8"/>
      <c r="B227" s="23"/>
      <c r="C227" s="23"/>
      <c r="D227" s="23"/>
      <c r="E227" s="23"/>
      <c r="F227" s="23"/>
      <c r="G227" s="8"/>
      <c r="H227" s="8"/>
      <c r="I227" s="8"/>
      <c r="J227" s="8"/>
      <c r="K227" s="8"/>
      <c r="L227" s="8"/>
      <c r="M227" s="8"/>
      <c r="N227" s="8"/>
      <c r="O227" s="8"/>
      <c r="P227" s="8"/>
      <c r="Q227" s="8"/>
      <c r="R227" s="8"/>
      <c r="S227" s="8"/>
      <c r="T227" s="8"/>
      <c r="U227" s="8"/>
      <c r="V227" s="8"/>
      <c r="W227" s="8"/>
      <c r="X227" s="8"/>
      <c r="Y227" s="8"/>
      <c r="Z227" s="8"/>
      <c r="AA227" s="8"/>
    </row>
    <row r="228" ht="14.25" customHeight="1" spans="1:27" x14ac:dyDescent="0.25">
      <c r="A228" s="8"/>
      <c r="B228" s="23"/>
      <c r="C228" s="23"/>
      <c r="D228" s="23"/>
      <c r="E228" s="23"/>
      <c r="F228" s="23"/>
      <c r="G228" s="8"/>
      <c r="H228" s="8"/>
      <c r="I228" s="8"/>
      <c r="J228" s="8"/>
      <c r="K228" s="8"/>
      <c r="L228" s="8"/>
      <c r="M228" s="8"/>
      <c r="N228" s="8"/>
      <c r="O228" s="8"/>
      <c r="P228" s="8"/>
      <c r="Q228" s="8"/>
      <c r="R228" s="8"/>
      <c r="S228" s="8"/>
      <c r="T228" s="8"/>
      <c r="U228" s="8"/>
      <c r="V228" s="8"/>
      <c r="W228" s="8"/>
      <c r="X228" s="8"/>
      <c r="Y228" s="8"/>
      <c r="Z228" s="8"/>
      <c r="AA228" s="8"/>
    </row>
    <row r="229" ht="14.25" customHeight="1" spans="1:27" x14ac:dyDescent="0.25">
      <c r="A229" s="8"/>
      <c r="B229" s="23"/>
      <c r="C229" s="23"/>
      <c r="D229" s="23"/>
      <c r="E229" s="23"/>
      <c r="F229" s="23"/>
      <c r="G229" s="8"/>
      <c r="H229" s="8"/>
      <c r="I229" s="8"/>
      <c r="J229" s="8"/>
      <c r="K229" s="8"/>
      <c r="L229" s="8"/>
      <c r="M229" s="8"/>
      <c r="N229" s="8"/>
      <c r="O229" s="8"/>
      <c r="P229" s="8"/>
      <c r="Q229" s="8"/>
      <c r="R229" s="8"/>
      <c r="S229" s="8"/>
      <c r="T229" s="8"/>
      <c r="U229" s="8"/>
      <c r="V229" s="8"/>
      <c r="W229" s="8"/>
      <c r="X229" s="8"/>
      <c r="Y229" s="8"/>
      <c r="Z229" s="8"/>
      <c r="AA229" s="8"/>
    </row>
    <row r="230" ht="14.25" customHeight="1" spans="1:27" x14ac:dyDescent="0.25">
      <c r="A230" s="8"/>
      <c r="B230" s="23"/>
      <c r="C230" s="23"/>
      <c r="D230" s="23"/>
      <c r="E230" s="23"/>
      <c r="F230" s="23"/>
      <c r="G230" s="8"/>
      <c r="H230" s="8"/>
      <c r="I230" s="8"/>
      <c r="J230" s="8"/>
      <c r="K230" s="8"/>
      <c r="L230" s="8"/>
      <c r="M230" s="8"/>
      <c r="N230" s="8"/>
      <c r="O230" s="8"/>
      <c r="P230" s="8"/>
      <c r="Q230" s="8"/>
      <c r="R230" s="8"/>
      <c r="S230" s="8"/>
      <c r="T230" s="8"/>
      <c r="U230" s="8"/>
      <c r="V230" s="8"/>
      <c r="W230" s="8"/>
      <c r="X230" s="8"/>
      <c r="Y230" s="8"/>
      <c r="Z230" s="8"/>
      <c r="AA230" s="8"/>
    </row>
    <row r="231" ht="14.25" customHeight="1" spans="1:27" x14ac:dyDescent="0.25">
      <c r="A231" s="8"/>
      <c r="B231" s="23"/>
      <c r="C231" s="23"/>
      <c r="D231" s="23"/>
      <c r="E231" s="23"/>
      <c r="F231" s="23"/>
      <c r="G231" s="8"/>
      <c r="H231" s="8"/>
      <c r="I231" s="8"/>
      <c r="J231" s="8"/>
      <c r="K231" s="8"/>
      <c r="L231" s="8"/>
      <c r="M231" s="8"/>
      <c r="N231" s="8"/>
      <c r="O231" s="8"/>
      <c r="P231" s="8"/>
      <c r="Q231" s="8"/>
      <c r="R231" s="8"/>
      <c r="S231" s="8"/>
      <c r="T231" s="8"/>
      <c r="U231" s="8"/>
      <c r="V231" s="8"/>
      <c r="W231" s="8"/>
      <c r="X231" s="8"/>
      <c r="Y231" s="8"/>
      <c r="Z231" s="8"/>
      <c r="AA231" s="8"/>
    </row>
    <row r="232" ht="14.25" customHeight="1" spans="1:27" x14ac:dyDescent="0.25">
      <c r="A232" s="8"/>
      <c r="B232" s="23"/>
      <c r="C232" s="23"/>
      <c r="D232" s="23"/>
      <c r="E232" s="23"/>
      <c r="F232" s="23"/>
      <c r="G232" s="8"/>
      <c r="H232" s="8"/>
      <c r="I232" s="8"/>
      <c r="J232" s="8"/>
      <c r="K232" s="8"/>
      <c r="L232" s="8"/>
      <c r="M232" s="8"/>
      <c r="N232" s="8"/>
      <c r="O232" s="8"/>
      <c r="P232" s="8"/>
      <c r="Q232" s="8"/>
      <c r="R232" s="8"/>
      <c r="S232" s="8"/>
      <c r="T232" s="8"/>
      <c r="U232" s="8"/>
      <c r="V232" s="8"/>
      <c r="W232" s="8"/>
      <c r="X232" s="8"/>
      <c r="Y232" s="8"/>
      <c r="Z232" s="8"/>
      <c r="AA232" s="8"/>
    </row>
    <row r="233" ht="14.25" customHeight="1" spans="1:27" x14ac:dyDescent="0.25">
      <c r="A233" s="8"/>
      <c r="B233" s="23"/>
      <c r="C233" s="23"/>
      <c r="D233" s="23"/>
      <c r="E233" s="23"/>
      <c r="F233" s="23"/>
      <c r="G233" s="8"/>
      <c r="H233" s="8"/>
      <c r="I233" s="8"/>
      <c r="J233" s="8"/>
      <c r="K233" s="8"/>
      <c r="L233" s="8"/>
      <c r="M233" s="8"/>
      <c r="N233" s="8"/>
      <c r="O233" s="8"/>
      <c r="P233" s="8"/>
      <c r="Q233" s="8"/>
      <c r="R233" s="8"/>
      <c r="S233" s="8"/>
      <c r="T233" s="8"/>
      <c r="U233" s="8"/>
      <c r="V233" s="8"/>
      <c r="W233" s="8"/>
      <c r="X233" s="8"/>
      <c r="Y233" s="8"/>
      <c r="Z233" s="8"/>
      <c r="AA233" s="8"/>
    </row>
    <row r="234" ht="14.25" customHeight="1" spans="1:27" x14ac:dyDescent="0.25">
      <c r="A234" s="8"/>
      <c r="B234" s="23"/>
      <c r="C234" s="23"/>
      <c r="D234" s="23"/>
      <c r="E234" s="23"/>
      <c r="F234" s="23"/>
      <c r="G234" s="8"/>
      <c r="H234" s="8"/>
      <c r="I234" s="8"/>
      <c r="J234" s="8"/>
      <c r="K234" s="8"/>
      <c r="L234" s="8"/>
      <c r="M234" s="8"/>
      <c r="N234" s="8"/>
      <c r="O234" s="8"/>
      <c r="P234" s="8"/>
      <c r="Q234" s="8"/>
      <c r="R234" s="8"/>
      <c r="S234" s="8"/>
      <c r="T234" s="8"/>
      <c r="U234" s="8"/>
      <c r="V234" s="8"/>
      <c r="W234" s="8"/>
      <c r="X234" s="8"/>
      <c r="Y234" s="8"/>
      <c r="Z234" s="8"/>
      <c r="AA234" s="8"/>
    </row>
    <row r="235" ht="14.25" customHeight="1" spans="1:27" x14ac:dyDescent="0.25">
      <c r="A235" s="8"/>
      <c r="B235" s="23"/>
      <c r="C235" s="23"/>
      <c r="D235" s="23"/>
      <c r="E235" s="23"/>
      <c r="F235" s="23"/>
      <c r="G235" s="8"/>
      <c r="H235" s="8"/>
      <c r="I235" s="8"/>
      <c r="J235" s="8"/>
      <c r="K235" s="8"/>
      <c r="L235" s="8"/>
      <c r="M235" s="8"/>
      <c r="N235" s="8"/>
      <c r="O235" s="8"/>
      <c r="P235" s="8"/>
      <c r="Q235" s="8"/>
      <c r="R235" s="8"/>
      <c r="S235" s="8"/>
      <c r="T235" s="8"/>
      <c r="U235" s="8"/>
      <c r="V235" s="8"/>
      <c r="W235" s="8"/>
      <c r="X235" s="8"/>
      <c r="Y235" s="8"/>
      <c r="Z235" s="8"/>
      <c r="AA235" s="8"/>
    </row>
    <row r="236" ht="14.25" customHeight="1" spans="1:27" x14ac:dyDescent="0.25">
      <c r="A236" s="8"/>
      <c r="B236" s="23"/>
      <c r="C236" s="23"/>
      <c r="D236" s="23"/>
      <c r="E236" s="23"/>
      <c r="F236" s="23"/>
      <c r="G236" s="8"/>
      <c r="H236" s="8"/>
      <c r="I236" s="8"/>
      <c r="J236" s="8"/>
      <c r="K236" s="8"/>
      <c r="L236" s="8"/>
      <c r="M236" s="8"/>
      <c r="N236" s="8"/>
      <c r="O236" s="8"/>
      <c r="P236" s="8"/>
      <c r="Q236" s="8"/>
      <c r="R236" s="8"/>
      <c r="S236" s="8"/>
      <c r="T236" s="8"/>
      <c r="U236" s="8"/>
      <c r="V236" s="8"/>
      <c r="W236" s="8"/>
      <c r="X236" s="8"/>
      <c r="Y236" s="8"/>
      <c r="Z236" s="8"/>
      <c r="AA236" s="8"/>
    </row>
    <row r="237" ht="14.25" customHeight="1" spans="1:27" x14ac:dyDescent="0.25">
      <c r="A237" s="8"/>
      <c r="B237" s="23"/>
      <c r="C237" s="23"/>
      <c r="D237" s="23"/>
      <c r="E237" s="23"/>
      <c r="F237" s="23"/>
      <c r="G237" s="8"/>
      <c r="H237" s="8"/>
      <c r="I237" s="8"/>
      <c r="J237" s="8"/>
      <c r="K237" s="8"/>
      <c r="L237" s="8"/>
      <c r="M237" s="8"/>
      <c r="N237" s="8"/>
      <c r="O237" s="8"/>
      <c r="P237" s="8"/>
      <c r="Q237" s="8"/>
      <c r="R237" s="8"/>
      <c r="S237" s="8"/>
      <c r="T237" s="8"/>
      <c r="U237" s="8"/>
      <c r="V237" s="8"/>
      <c r="W237" s="8"/>
      <c r="X237" s="8"/>
      <c r="Y237" s="8"/>
      <c r="Z237" s="8"/>
      <c r="AA237" s="8"/>
    </row>
    <row r="238" ht="14.25" customHeight="1" spans="1:27" x14ac:dyDescent="0.25">
      <c r="A238" s="8"/>
      <c r="B238" s="23"/>
      <c r="C238" s="23"/>
      <c r="D238" s="23"/>
      <c r="E238" s="23"/>
      <c r="F238" s="23"/>
      <c r="G238" s="8"/>
      <c r="H238" s="8"/>
      <c r="I238" s="8"/>
      <c r="J238" s="8"/>
      <c r="K238" s="8"/>
      <c r="L238" s="8"/>
      <c r="M238" s="8"/>
      <c r="N238" s="8"/>
      <c r="O238" s="8"/>
      <c r="P238" s="8"/>
      <c r="Q238" s="8"/>
      <c r="R238" s="8"/>
      <c r="S238" s="8"/>
      <c r="T238" s="8"/>
      <c r="U238" s="8"/>
      <c r="V238" s="8"/>
      <c r="W238" s="8"/>
      <c r="X238" s="8"/>
      <c r="Y238" s="8"/>
      <c r="Z238" s="8"/>
      <c r="AA238" s="8"/>
    </row>
    <row r="239" ht="14.25" customHeight="1" spans="1:27" x14ac:dyDescent="0.25">
      <c r="A239" s="8"/>
      <c r="B239" s="23"/>
      <c r="C239" s="23"/>
      <c r="D239" s="23"/>
      <c r="E239" s="23"/>
      <c r="F239" s="23"/>
      <c r="G239" s="8"/>
      <c r="H239" s="8"/>
      <c r="I239" s="8"/>
      <c r="J239" s="8"/>
      <c r="K239" s="8"/>
      <c r="L239" s="8"/>
      <c r="M239" s="8"/>
      <c r="N239" s="8"/>
      <c r="O239" s="8"/>
      <c r="P239" s="8"/>
      <c r="Q239" s="8"/>
      <c r="R239" s="8"/>
      <c r="S239" s="8"/>
      <c r="T239" s="8"/>
      <c r="U239" s="8"/>
      <c r="V239" s="8"/>
      <c r="W239" s="8"/>
      <c r="X239" s="8"/>
      <c r="Y239" s="8"/>
      <c r="Z239" s="8"/>
      <c r="AA239" s="8"/>
    </row>
    <row r="240" ht="14.25" customHeight="1" spans="1:27" x14ac:dyDescent="0.25">
      <c r="A240" s="8"/>
      <c r="B240" s="23"/>
      <c r="C240" s="23"/>
      <c r="D240" s="23"/>
      <c r="E240" s="23"/>
      <c r="F240" s="23"/>
      <c r="G240" s="8"/>
      <c r="H240" s="8"/>
      <c r="I240" s="8"/>
      <c r="J240" s="8"/>
      <c r="K240" s="8"/>
      <c r="L240" s="8"/>
      <c r="M240" s="8"/>
      <c r="N240" s="8"/>
      <c r="O240" s="8"/>
      <c r="P240" s="8"/>
      <c r="Q240" s="8"/>
      <c r="R240" s="8"/>
      <c r="S240" s="8"/>
      <c r="T240" s="8"/>
      <c r="U240" s="8"/>
      <c r="V240" s="8"/>
      <c r="W240" s="8"/>
      <c r="X240" s="8"/>
      <c r="Y240" s="8"/>
      <c r="Z240" s="8"/>
      <c r="AA240" s="8"/>
    </row>
    <row r="241" ht="14.25" customHeight="1" spans="1:27" x14ac:dyDescent="0.25">
      <c r="A241" s="8"/>
      <c r="B241" s="23"/>
      <c r="C241" s="23"/>
      <c r="D241" s="23"/>
      <c r="E241" s="23"/>
      <c r="F241" s="23"/>
      <c r="G241" s="8"/>
      <c r="H241" s="8"/>
      <c r="I241" s="8"/>
      <c r="J241" s="8"/>
      <c r="K241" s="8"/>
      <c r="L241" s="8"/>
      <c r="M241" s="8"/>
      <c r="N241" s="8"/>
      <c r="O241" s="8"/>
      <c r="P241" s="8"/>
      <c r="Q241" s="8"/>
      <c r="R241" s="8"/>
      <c r="S241" s="8"/>
      <c r="T241" s="8"/>
      <c r="U241" s="8"/>
      <c r="V241" s="8"/>
      <c r="W241" s="8"/>
      <c r="X241" s="8"/>
      <c r="Y241" s="8"/>
      <c r="Z241" s="8"/>
      <c r="AA241" s="8"/>
    </row>
    <row r="242" ht="14.25" customHeight="1" spans="1:27" x14ac:dyDescent="0.25">
      <c r="A242" s="8"/>
      <c r="B242" s="23"/>
      <c r="C242" s="23"/>
      <c r="D242" s="23"/>
      <c r="E242" s="23"/>
      <c r="F242" s="23"/>
      <c r="G242" s="8"/>
      <c r="H242" s="8"/>
      <c r="I242" s="8"/>
      <c r="J242" s="8"/>
      <c r="K242" s="8"/>
      <c r="L242" s="8"/>
      <c r="M242" s="8"/>
      <c r="N242" s="8"/>
      <c r="O242" s="8"/>
      <c r="P242" s="8"/>
      <c r="Q242" s="8"/>
      <c r="R242" s="8"/>
      <c r="S242" s="8"/>
      <c r="T242" s="8"/>
      <c r="U242" s="8"/>
      <c r="V242" s="8"/>
      <c r="W242" s="8"/>
      <c r="X242" s="8"/>
      <c r="Y242" s="8"/>
      <c r="Z242" s="8"/>
      <c r="AA242" s="8"/>
    </row>
    <row r="243" ht="14.25" customHeight="1" spans="1:27" x14ac:dyDescent="0.25">
      <c r="A243" s="8"/>
      <c r="B243" s="23"/>
      <c r="C243" s="23"/>
      <c r="D243" s="23"/>
      <c r="E243" s="23"/>
      <c r="F243" s="23"/>
      <c r="G243" s="8"/>
      <c r="H243" s="8"/>
      <c r="I243" s="8"/>
      <c r="J243" s="8"/>
      <c r="K243" s="8"/>
      <c r="L243" s="8"/>
      <c r="M243" s="8"/>
      <c r="N243" s="8"/>
      <c r="O243" s="8"/>
      <c r="P243" s="8"/>
      <c r="Q243" s="8"/>
      <c r="R243" s="8"/>
      <c r="S243" s="8"/>
      <c r="T243" s="8"/>
      <c r="U243" s="8"/>
      <c r="V243" s="8"/>
      <c r="W243" s="8"/>
      <c r="X243" s="8"/>
      <c r="Y243" s="8"/>
      <c r="Z243" s="8"/>
      <c r="AA243" s="8"/>
    </row>
    <row r="244" ht="14.25" customHeight="1" spans="1:27" x14ac:dyDescent="0.25">
      <c r="A244" s="8"/>
      <c r="B244" s="23"/>
      <c r="C244" s="23"/>
      <c r="D244" s="23"/>
      <c r="E244" s="23"/>
      <c r="F244" s="23"/>
      <c r="G244" s="8"/>
      <c r="H244" s="8"/>
      <c r="I244" s="8"/>
      <c r="J244" s="8"/>
      <c r="K244" s="8"/>
      <c r="L244" s="8"/>
      <c r="M244" s="8"/>
      <c r="N244" s="8"/>
      <c r="O244" s="8"/>
      <c r="P244" s="8"/>
      <c r="Q244" s="8"/>
      <c r="R244" s="8"/>
      <c r="S244" s="8"/>
      <c r="T244" s="8"/>
      <c r="U244" s="8"/>
      <c r="V244" s="8"/>
      <c r="W244" s="8"/>
      <c r="X244" s="8"/>
      <c r="Y244" s="8"/>
      <c r="Z244" s="8"/>
      <c r="AA244" s="8"/>
    </row>
    <row r="245" ht="14.25" customHeight="1" spans="1:27" x14ac:dyDescent="0.25">
      <c r="A245" s="8"/>
      <c r="B245" s="23"/>
      <c r="C245" s="23"/>
      <c r="D245" s="23"/>
      <c r="E245" s="23"/>
      <c r="F245" s="23"/>
      <c r="G245" s="8"/>
      <c r="H245" s="8"/>
      <c r="I245" s="8"/>
      <c r="J245" s="8"/>
      <c r="K245" s="8"/>
      <c r="L245" s="8"/>
      <c r="M245" s="8"/>
      <c r="N245" s="8"/>
      <c r="O245" s="8"/>
      <c r="P245" s="8"/>
      <c r="Q245" s="8"/>
      <c r="R245" s="8"/>
      <c r="S245" s="8"/>
      <c r="T245" s="8"/>
      <c r="U245" s="8"/>
      <c r="V245" s="8"/>
      <c r="W245" s="8"/>
      <c r="X245" s="8"/>
      <c r="Y245" s="8"/>
      <c r="Z245" s="8"/>
      <c r="AA245" s="8"/>
    </row>
    <row r="246" ht="14.25" customHeight="1" spans="1:27" x14ac:dyDescent="0.25">
      <c r="A246" s="8"/>
      <c r="B246" s="23"/>
      <c r="C246" s="23"/>
      <c r="D246" s="23"/>
      <c r="E246" s="23"/>
      <c r="F246" s="23"/>
      <c r="G246" s="8"/>
      <c r="H246" s="8"/>
      <c r="I246" s="8"/>
      <c r="J246" s="8"/>
      <c r="K246" s="8"/>
      <c r="L246" s="8"/>
      <c r="M246" s="8"/>
      <c r="N246" s="8"/>
      <c r="O246" s="8"/>
      <c r="P246" s="8"/>
      <c r="Q246" s="8"/>
      <c r="R246" s="8"/>
      <c r="S246" s="8"/>
      <c r="T246" s="8"/>
      <c r="U246" s="8"/>
      <c r="V246" s="8"/>
      <c r="W246" s="8"/>
      <c r="X246" s="8"/>
      <c r="Y246" s="8"/>
      <c r="Z246" s="8"/>
      <c r="AA246" s="8"/>
    </row>
    <row r="247" ht="14.25" customHeight="1" spans="1:27" x14ac:dyDescent="0.25">
      <c r="A247" s="8"/>
      <c r="B247" s="23"/>
      <c r="C247" s="23"/>
      <c r="D247" s="23"/>
      <c r="E247" s="23"/>
      <c r="F247" s="23"/>
      <c r="G247" s="8"/>
      <c r="H247" s="8"/>
      <c r="I247" s="8"/>
      <c r="J247" s="8"/>
      <c r="K247" s="8"/>
      <c r="L247" s="8"/>
      <c r="M247" s="8"/>
      <c r="N247" s="8"/>
      <c r="O247" s="8"/>
      <c r="P247" s="8"/>
      <c r="Q247" s="8"/>
      <c r="R247" s="8"/>
      <c r="S247" s="8"/>
      <c r="T247" s="8"/>
      <c r="U247" s="8"/>
      <c r="V247" s="8"/>
      <c r="W247" s="8"/>
      <c r="X247" s="8"/>
      <c r="Y247" s="8"/>
      <c r="Z247" s="8"/>
      <c r="AA247" s="8"/>
    </row>
    <row r="248" ht="14.25" customHeight="1" spans="1:27" x14ac:dyDescent="0.25">
      <c r="A248" s="8"/>
      <c r="B248" s="23"/>
      <c r="C248" s="23"/>
      <c r="D248" s="23"/>
      <c r="E248" s="23"/>
      <c r="F248" s="23"/>
      <c r="G248" s="8"/>
      <c r="H248" s="8"/>
      <c r="I248" s="8"/>
      <c r="J248" s="8"/>
      <c r="K248" s="8"/>
      <c r="L248" s="8"/>
      <c r="M248" s="8"/>
      <c r="N248" s="8"/>
      <c r="O248" s="8"/>
      <c r="P248" s="8"/>
      <c r="Q248" s="8"/>
      <c r="R248" s="8"/>
      <c r="S248" s="8"/>
      <c r="T248" s="8"/>
      <c r="U248" s="8"/>
      <c r="V248" s="8"/>
      <c r="W248" s="8"/>
      <c r="X248" s="8"/>
      <c r="Y248" s="8"/>
      <c r="Z248" s="8"/>
      <c r="AA248" s="8"/>
    </row>
    <row r="249" ht="14.25" customHeight="1" spans="1:27" x14ac:dyDescent="0.25">
      <c r="A249" s="8"/>
      <c r="B249" s="23"/>
      <c r="C249" s="23"/>
      <c r="D249" s="23"/>
      <c r="E249" s="23"/>
      <c r="F249" s="23"/>
      <c r="G249" s="8"/>
      <c r="H249" s="8"/>
      <c r="I249" s="8"/>
      <c r="J249" s="8"/>
      <c r="K249" s="8"/>
      <c r="L249" s="8"/>
      <c r="M249" s="8"/>
      <c r="N249" s="8"/>
      <c r="O249" s="8"/>
      <c r="P249" s="8"/>
      <c r="Q249" s="8"/>
      <c r="R249" s="8"/>
      <c r="S249" s="8"/>
      <c r="T249" s="8"/>
      <c r="U249" s="8"/>
      <c r="V249" s="8"/>
      <c r="W249" s="8"/>
      <c r="X249" s="8"/>
      <c r="Y249" s="8"/>
      <c r="Z249" s="8"/>
      <c r="AA249" s="8"/>
    </row>
    <row r="250" ht="14.25" customHeight="1" spans="1:27" x14ac:dyDescent="0.25">
      <c r="A250" s="8"/>
      <c r="B250" s="23"/>
      <c r="C250" s="23"/>
      <c r="D250" s="23"/>
      <c r="E250" s="23"/>
      <c r="F250" s="23"/>
      <c r="G250" s="8"/>
      <c r="H250" s="8"/>
      <c r="I250" s="8"/>
      <c r="J250" s="8"/>
      <c r="K250" s="8"/>
      <c r="L250" s="8"/>
      <c r="M250" s="8"/>
      <c r="N250" s="8"/>
      <c r="O250" s="8"/>
      <c r="P250" s="8"/>
      <c r="Q250" s="8"/>
      <c r="R250" s="8"/>
      <c r="S250" s="8"/>
      <c r="T250" s="8"/>
      <c r="U250" s="8"/>
      <c r="V250" s="8"/>
      <c r="W250" s="8"/>
      <c r="X250" s="8"/>
      <c r="Y250" s="8"/>
      <c r="Z250" s="8"/>
      <c r="AA250" s="8"/>
    </row>
    <row r="251" ht="14.25" customHeight="1" spans="1:27" x14ac:dyDescent="0.25">
      <c r="A251" s="8"/>
      <c r="B251" s="23"/>
      <c r="C251" s="23"/>
      <c r="D251" s="23"/>
      <c r="E251" s="23"/>
      <c r="F251" s="23"/>
      <c r="G251" s="8"/>
      <c r="H251" s="8"/>
      <c r="I251" s="8"/>
      <c r="J251" s="8"/>
      <c r="K251" s="8"/>
      <c r="L251" s="8"/>
      <c r="M251" s="8"/>
      <c r="N251" s="8"/>
      <c r="O251" s="8"/>
      <c r="P251" s="8"/>
      <c r="Q251" s="8"/>
      <c r="R251" s="8"/>
      <c r="S251" s="8"/>
      <c r="T251" s="8"/>
      <c r="U251" s="8"/>
      <c r="V251" s="8"/>
      <c r="W251" s="8"/>
      <c r="X251" s="8"/>
      <c r="Y251" s="8"/>
      <c r="Z251" s="8"/>
      <c r="AA251" s="8"/>
    </row>
    <row r="252" ht="14.25" customHeight="1" spans="1:27" x14ac:dyDescent="0.25">
      <c r="A252" s="8"/>
      <c r="B252" s="23"/>
      <c r="C252" s="23"/>
      <c r="D252" s="23"/>
      <c r="E252" s="23"/>
      <c r="F252" s="23"/>
      <c r="G252" s="8"/>
      <c r="H252" s="8"/>
      <c r="I252" s="8"/>
      <c r="J252" s="8"/>
      <c r="K252" s="8"/>
      <c r="L252" s="8"/>
      <c r="M252" s="8"/>
      <c r="N252" s="8"/>
      <c r="O252" s="8"/>
      <c r="P252" s="8"/>
      <c r="Q252" s="8"/>
      <c r="R252" s="8"/>
      <c r="S252" s="8"/>
      <c r="T252" s="8"/>
      <c r="U252" s="8"/>
      <c r="V252" s="8"/>
      <c r="W252" s="8"/>
      <c r="X252" s="8"/>
      <c r="Y252" s="8"/>
      <c r="Z252" s="8"/>
      <c r="AA252" s="8"/>
    </row>
    <row r="253" ht="14.25" customHeight="1" spans="1:27" x14ac:dyDescent="0.25">
      <c r="A253" s="8"/>
      <c r="B253" s="23"/>
      <c r="C253" s="23"/>
      <c r="D253" s="23"/>
      <c r="E253" s="23"/>
      <c r="F253" s="23"/>
      <c r="G253" s="8"/>
      <c r="H253" s="8"/>
      <c r="I253" s="8"/>
      <c r="J253" s="8"/>
      <c r="K253" s="8"/>
      <c r="L253" s="8"/>
      <c r="M253" s="8"/>
      <c r="N253" s="8"/>
      <c r="O253" s="8"/>
      <c r="P253" s="8"/>
      <c r="Q253" s="8"/>
      <c r="R253" s="8"/>
      <c r="S253" s="8"/>
      <c r="T253" s="8"/>
      <c r="U253" s="8"/>
      <c r="V253" s="8"/>
      <c r="W253" s="8"/>
      <c r="X253" s="8"/>
      <c r="Y253" s="8"/>
      <c r="Z253" s="8"/>
      <c r="AA253" s="8"/>
    </row>
    <row r="254" ht="14.25" customHeight="1" spans="1:27" x14ac:dyDescent="0.25">
      <c r="A254" s="8"/>
      <c r="B254" s="23"/>
      <c r="C254" s="23"/>
      <c r="D254" s="23"/>
      <c r="E254" s="23"/>
      <c r="F254" s="23"/>
      <c r="G254" s="8"/>
      <c r="H254" s="8"/>
      <c r="I254" s="8"/>
      <c r="J254" s="8"/>
      <c r="K254" s="8"/>
      <c r="L254" s="8"/>
      <c r="M254" s="8"/>
      <c r="N254" s="8"/>
      <c r="O254" s="8"/>
      <c r="P254" s="8"/>
      <c r="Q254" s="8"/>
      <c r="R254" s="8"/>
      <c r="S254" s="8"/>
      <c r="T254" s="8"/>
      <c r="U254" s="8"/>
      <c r="V254" s="8"/>
      <c r="W254" s="8"/>
      <c r="X254" s="8"/>
      <c r="Y254" s="8"/>
      <c r="Z254" s="8"/>
      <c r="AA254" s="8"/>
    </row>
    <row r="255" ht="14.25" customHeight="1" spans="1:27" x14ac:dyDescent="0.25">
      <c r="A255" s="8"/>
      <c r="B255" s="23"/>
      <c r="C255" s="23"/>
      <c r="D255" s="23"/>
      <c r="E255" s="23"/>
      <c r="F255" s="23"/>
      <c r="G255" s="8"/>
      <c r="H255" s="8"/>
      <c r="I255" s="8"/>
      <c r="J255" s="8"/>
      <c r="K255" s="8"/>
      <c r="L255" s="8"/>
      <c r="M255" s="8"/>
      <c r="N255" s="8"/>
      <c r="O255" s="8"/>
      <c r="P255" s="8"/>
      <c r="Q255" s="8"/>
      <c r="R255" s="8"/>
      <c r="S255" s="8"/>
      <c r="T255" s="8"/>
      <c r="U255" s="8"/>
      <c r="V255" s="8"/>
      <c r="W255" s="8"/>
      <c r="X255" s="8"/>
      <c r="Y255" s="8"/>
      <c r="Z255" s="8"/>
      <c r="AA255" s="8"/>
    </row>
    <row r="256" ht="14.25" customHeight="1" spans="1:27" x14ac:dyDescent="0.25">
      <c r="A256" s="8"/>
      <c r="B256" s="23"/>
      <c r="C256" s="23"/>
      <c r="D256" s="23"/>
      <c r="E256" s="23"/>
      <c r="F256" s="23"/>
      <c r="G256" s="8"/>
      <c r="H256" s="8"/>
      <c r="I256" s="8"/>
      <c r="J256" s="8"/>
      <c r="K256" s="8"/>
      <c r="L256" s="8"/>
      <c r="M256" s="8"/>
      <c r="N256" s="8"/>
      <c r="O256" s="8"/>
      <c r="P256" s="8"/>
      <c r="Q256" s="8"/>
      <c r="R256" s="8"/>
      <c r="S256" s="8"/>
      <c r="T256" s="8"/>
      <c r="U256" s="8"/>
      <c r="V256" s="8"/>
      <c r="W256" s="8"/>
      <c r="X256" s="8"/>
      <c r="Y256" s="8"/>
      <c r="Z256" s="8"/>
      <c r="AA256" s="8"/>
    </row>
    <row r="257" ht="14.25" customHeight="1" spans="1:27" x14ac:dyDescent="0.25">
      <c r="A257" s="8"/>
      <c r="B257" s="23"/>
      <c r="C257" s="23"/>
      <c r="D257" s="23"/>
      <c r="E257" s="23"/>
      <c r="F257" s="23"/>
      <c r="G257" s="8"/>
      <c r="H257" s="8"/>
      <c r="I257" s="8"/>
      <c r="J257" s="8"/>
      <c r="K257" s="8"/>
      <c r="L257" s="8"/>
      <c r="M257" s="8"/>
      <c r="N257" s="8"/>
      <c r="O257" s="8"/>
      <c r="P257" s="8"/>
      <c r="Q257" s="8"/>
      <c r="R257" s="8"/>
      <c r="S257" s="8"/>
      <c r="T257" s="8"/>
      <c r="U257" s="8"/>
      <c r="V257" s="8"/>
      <c r="W257" s="8"/>
      <c r="X257" s="8"/>
      <c r="Y257" s="8"/>
      <c r="Z257" s="8"/>
      <c r="AA257" s="8"/>
    </row>
    <row r="258" ht="14.25" customHeight="1" spans="1:27" x14ac:dyDescent="0.25">
      <c r="A258" s="8"/>
      <c r="B258" s="23"/>
      <c r="C258" s="23"/>
      <c r="D258" s="23"/>
      <c r="E258" s="23"/>
      <c r="F258" s="23"/>
      <c r="G258" s="8"/>
      <c r="H258" s="8"/>
      <c r="I258" s="8"/>
      <c r="J258" s="8"/>
      <c r="K258" s="8"/>
      <c r="L258" s="8"/>
      <c r="M258" s="8"/>
      <c r="N258" s="8"/>
      <c r="O258" s="8"/>
      <c r="P258" s="8"/>
      <c r="Q258" s="8"/>
      <c r="R258" s="8"/>
      <c r="S258" s="8"/>
      <c r="T258" s="8"/>
      <c r="U258" s="8"/>
      <c r="V258" s="8"/>
      <c r="W258" s="8"/>
      <c r="X258" s="8"/>
      <c r="Y258" s="8"/>
      <c r="Z258" s="8"/>
      <c r="AA258" s="8"/>
    </row>
    <row r="259" ht="14.25" customHeight="1" spans="1:27" x14ac:dyDescent="0.25">
      <c r="A259" s="8"/>
      <c r="B259" s="23"/>
      <c r="C259" s="23"/>
      <c r="D259" s="23"/>
      <c r="E259" s="23"/>
      <c r="F259" s="23"/>
      <c r="G259" s="8"/>
      <c r="H259" s="8"/>
      <c r="I259" s="8"/>
      <c r="J259" s="8"/>
      <c r="K259" s="8"/>
      <c r="L259" s="8"/>
      <c r="M259" s="8"/>
      <c r="N259" s="8"/>
      <c r="O259" s="8"/>
      <c r="P259" s="8"/>
      <c r="Q259" s="8"/>
      <c r="R259" s="8"/>
      <c r="S259" s="8"/>
      <c r="T259" s="8"/>
      <c r="U259" s="8"/>
      <c r="V259" s="8"/>
      <c r="W259" s="8"/>
      <c r="X259" s="8"/>
      <c r="Y259" s="8"/>
      <c r="Z259" s="8"/>
      <c r="AA259" s="8"/>
    </row>
    <row r="260" ht="14.25" customHeight="1" spans="1:27" x14ac:dyDescent="0.25">
      <c r="A260" s="8"/>
      <c r="B260" s="23"/>
      <c r="C260" s="23"/>
      <c r="D260" s="23"/>
      <c r="E260" s="23"/>
      <c r="F260" s="23"/>
      <c r="G260" s="8"/>
      <c r="H260" s="8"/>
      <c r="I260" s="8"/>
      <c r="J260" s="8"/>
      <c r="K260" s="8"/>
      <c r="L260" s="8"/>
      <c r="M260" s="8"/>
      <c r="N260" s="8"/>
      <c r="O260" s="8"/>
      <c r="P260" s="8"/>
      <c r="Q260" s="8"/>
      <c r="R260" s="8"/>
      <c r="S260" s="8"/>
      <c r="T260" s="8"/>
      <c r="U260" s="8"/>
      <c r="V260" s="8"/>
      <c r="W260" s="8"/>
      <c r="X260" s="8"/>
      <c r="Y260" s="8"/>
      <c r="Z260" s="8"/>
      <c r="AA260" s="8"/>
    </row>
    <row r="261" ht="14.25" customHeight="1" spans="1:27" x14ac:dyDescent="0.25">
      <c r="A261" s="8"/>
      <c r="B261" s="23"/>
      <c r="C261" s="23"/>
      <c r="D261" s="23"/>
      <c r="E261" s="23"/>
      <c r="F261" s="23"/>
      <c r="G261" s="8"/>
      <c r="H261" s="8"/>
      <c r="I261" s="8"/>
      <c r="J261" s="8"/>
      <c r="K261" s="8"/>
      <c r="L261" s="8"/>
      <c r="M261" s="8"/>
      <c r="N261" s="8"/>
      <c r="O261" s="8"/>
      <c r="P261" s="8"/>
      <c r="Q261" s="8"/>
      <c r="R261" s="8"/>
      <c r="S261" s="8"/>
      <c r="T261" s="8"/>
      <c r="U261" s="8"/>
      <c r="V261" s="8"/>
      <c r="W261" s="8"/>
      <c r="X261" s="8"/>
      <c r="Y261" s="8"/>
      <c r="Z261" s="8"/>
      <c r="AA261" s="8"/>
    </row>
    <row r="262" ht="14.25" customHeight="1" spans="1:27" x14ac:dyDescent="0.25">
      <c r="A262" s="8"/>
      <c r="B262" s="23"/>
      <c r="C262" s="23"/>
      <c r="D262" s="23"/>
      <c r="E262" s="23"/>
      <c r="F262" s="23"/>
      <c r="G262" s="8"/>
      <c r="H262" s="8"/>
      <c r="I262" s="8"/>
      <c r="J262" s="8"/>
      <c r="K262" s="8"/>
      <c r="L262" s="8"/>
      <c r="M262" s="8"/>
      <c r="N262" s="8"/>
      <c r="O262" s="8"/>
      <c r="P262" s="8"/>
      <c r="Q262" s="8"/>
      <c r="R262" s="8"/>
      <c r="S262" s="8"/>
      <c r="T262" s="8"/>
      <c r="U262" s="8"/>
      <c r="V262" s="8"/>
      <c r="W262" s="8"/>
      <c r="X262" s="8"/>
      <c r="Y262" s="8"/>
      <c r="Z262" s="8"/>
      <c r="AA262" s="8"/>
    </row>
    <row r="263" ht="14.25" customHeight="1" spans="1:27" x14ac:dyDescent="0.25">
      <c r="A263" s="8"/>
      <c r="B263" s="23"/>
      <c r="C263" s="23"/>
      <c r="D263" s="23"/>
      <c r="E263" s="23"/>
      <c r="F263" s="23"/>
      <c r="G263" s="8"/>
      <c r="H263" s="8"/>
      <c r="I263" s="8"/>
      <c r="J263" s="8"/>
      <c r="K263" s="8"/>
      <c r="L263" s="8"/>
      <c r="M263" s="8"/>
      <c r="N263" s="8"/>
      <c r="O263" s="8"/>
      <c r="P263" s="8"/>
      <c r="Q263" s="8"/>
      <c r="R263" s="8"/>
      <c r="S263" s="8"/>
      <c r="T263" s="8"/>
      <c r="U263" s="8"/>
      <c r="V263" s="8"/>
      <c r="W263" s="8"/>
      <c r="X263" s="8"/>
      <c r="Y263" s="8"/>
      <c r="Z263" s="8"/>
      <c r="AA263" s="8"/>
    </row>
    <row r="264" ht="14.25" customHeight="1" spans="1:27" x14ac:dyDescent="0.25">
      <c r="A264" s="8"/>
      <c r="B264" s="23"/>
      <c r="C264" s="23"/>
      <c r="D264" s="23"/>
      <c r="E264" s="23"/>
      <c r="F264" s="23"/>
      <c r="G264" s="8"/>
      <c r="H264" s="8"/>
      <c r="I264" s="8"/>
      <c r="J264" s="8"/>
      <c r="K264" s="8"/>
      <c r="L264" s="8"/>
      <c r="M264" s="8"/>
      <c r="N264" s="8"/>
      <c r="O264" s="8"/>
      <c r="P264" s="8"/>
      <c r="Q264" s="8"/>
      <c r="R264" s="8"/>
      <c r="S264" s="8"/>
      <c r="T264" s="8"/>
      <c r="U264" s="8"/>
      <c r="V264" s="8"/>
      <c r="W264" s="8"/>
      <c r="X264" s="8"/>
      <c r="Y264" s="8"/>
      <c r="Z264" s="8"/>
      <c r="AA264" s="8"/>
    </row>
    <row r="265" ht="14.25" customHeight="1" spans="1:27" x14ac:dyDescent="0.25">
      <c r="A265" s="8"/>
      <c r="B265" s="23"/>
      <c r="C265" s="23"/>
      <c r="D265" s="23"/>
      <c r="E265" s="23"/>
      <c r="F265" s="23"/>
      <c r="G265" s="8"/>
      <c r="H265" s="8"/>
      <c r="I265" s="8"/>
      <c r="J265" s="8"/>
      <c r="K265" s="8"/>
      <c r="L265" s="8"/>
      <c r="M265" s="8"/>
      <c r="N265" s="8"/>
      <c r="O265" s="8"/>
      <c r="P265" s="8"/>
      <c r="Q265" s="8"/>
      <c r="R265" s="8"/>
      <c r="S265" s="8"/>
      <c r="T265" s="8"/>
      <c r="U265" s="8"/>
      <c r="V265" s="8"/>
      <c r="W265" s="8"/>
      <c r="X265" s="8"/>
      <c r="Y265" s="8"/>
      <c r="Z265" s="8"/>
      <c r="AA265" s="8"/>
    </row>
    <row r="266" ht="14.25" customHeight="1" spans="1:27" x14ac:dyDescent="0.25">
      <c r="A266" s="8"/>
      <c r="B266" s="23"/>
      <c r="C266" s="23"/>
      <c r="D266" s="23"/>
      <c r="E266" s="23"/>
      <c r="F266" s="23"/>
      <c r="G266" s="8"/>
      <c r="H266" s="8"/>
      <c r="I266" s="8"/>
      <c r="J266" s="8"/>
      <c r="K266" s="8"/>
      <c r="L266" s="8"/>
      <c r="M266" s="8"/>
      <c r="N266" s="8"/>
      <c r="O266" s="8"/>
      <c r="P266" s="8"/>
      <c r="Q266" s="8"/>
      <c r="R266" s="8"/>
      <c r="S266" s="8"/>
      <c r="T266" s="8"/>
      <c r="U266" s="8"/>
      <c r="V266" s="8"/>
      <c r="W266" s="8"/>
      <c r="X266" s="8"/>
      <c r="Y266" s="8"/>
      <c r="Z266" s="8"/>
      <c r="AA266" s="8"/>
    </row>
    <row r="267" ht="14.25" customHeight="1" spans="1:27" x14ac:dyDescent="0.25">
      <c r="A267" s="8"/>
      <c r="B267" s="23"/>
      <c r="C267" s="23"/>
      <c r="D267" s="23"/>
      <c r="E267" s="23"/>
      <c r="F267" s="23"/>
      <c r="G267" s="8"/>
      <c r="H267" s="8"/>
      <c r="I267" s="8"/>
      <c r="J267" s="8"/>
      <c r="K267" s="8"/>
      <c r="L267" s="8"/>
      <c r="M267" s="8"/>
      <c r="N267" s="8"/>
      <c r="O267" s="8"/>
      <c r="P267" s="8"/>
      <c r="Q267" s="8"/>
      <c r="R267" s="8"/>
      <c r="S267" s="8"/>
      <c r="T267" s="8"/>
      <c r="U267" s="8"/>
      <c r="V267" s="8"/>
      <c r="W267" s="8"/>
      <c r="X267" s="8"/>
      <c r="Y267" s="8"/>
      <c r="Z267" s="8"/>
      <c r="AA267" s="8"/>
    </row>
    <row r="268" ht="14.25" customHeight="1" spans="1:27" x14ac:dyDescent="0.25">
      <c r="A268" s="8"/>
      <c r="B268" s="23"/>
      <c r="C268" s="23"/>
      <c r="D268" s="23"/>
      <c r="E268" s="23"/>
      <c r="F268" s="23"/>
      <c r="G268" s="8"/>
      <c r="H268" s="8"/>
      <c r="I268" s="8"/>
      <c r="J268" s="8"/>
      <c r="K268" s="8"/>
      <c r="L268" s="8"/>
      <c r="M268" s="8"/>
      <c r="N268" s="8"/>
      <c r="O268" s="8"/>
      <c r="P268" s="8"/>
      <c r="Q268" s="8"/>
      <c r="R268" s="8"/>
      <c r="S268" s="8"/>
      <c r="T268" s="8"/>
      <c r="U268" s="8"/>
      <c r="V268" s="8"/>
      <c r="W268" s="8"/>
      <c r="X268" s="8"/>
      <c r="Y268" s="8"/>
      <c r="Z268" s="8"/>
      <c r="AA268" s="8"/>
    </row>
    <row r="269" ht="14.25" customHeight="1" spans="1:27" x14ac:dyDescent="0.25">
      <c r="A269" s="8"/>
      <c r="B269" s="23"/>
      <c r="C269" s="23"/>
      <c r="D269" s="23"/>
      <c r="E269" s="23"/>
      <c r="F269" s="23"/>
      <c r="G269" s="8"/>
      <c r="H269" s="8"/>
      <c r="I269" s="8"/>
      <c r="J269" s="8"/>
      <c r="K269" s="8"/>
      <c r="L269" s="8"/>
      <c r="M269" s="8"/>
      <c r="N269" s="8"/>
      <c r="O269" s="8"/>
      <c r="P269" s="8"/>
      <c r="Q269" s="8"/>
      <c r="R269" s="8"/>
      <c r="S269" s="8"/>
      <c r="T269" s="8"/>
      <c r="U269" s="8"/>
      <c r="V269" s="8"/>
      <c r="W269" s="8"/>
      <c r="X269" s="8"/>
      <c r="Y269" s="8"/>
      <c r="Z269" s="8"/>
      <c r="AA269" s="8"/>
    </row>
    <row r="270" ht="14.25" customHeight="1" spans="1:27" x14ac:dyDescent="0.25">
      <c r="A270" s="8"/>
      <c r="B270" s="23"/>
      <c r="C270" s="23"/>
      <c r="D270" s="23"/>
      <c r="E270" s="23"/>
      <c r="F270" s="23"/>
      <c r="G270" s="8"/>
      <c r="H270" s="8"/>
      <c r="I270" s="8"/>
      <c r="J270" s="8"/>
      <c r="K270" s="8"/>
      <c r="L270" s="8"/>
      <c r="M270" s="8"/>
      <c r="N270" s="8"/>
      <c r="O270" s="8"/>
      <c r="P270" s="8"/>
      <c r="Q270" s="8"/>
      <c r="R270" s="8"/>
      <c r="S270" s="8"/>
      <c r="T270" s="8"/>
      <c r="U270" s="8"/>
      <c r="V270" s="8"/>
      <c r="W270" s="8"/>
      <c r="X270" s="8"/>
      <c r="Y270" s="8"/>
      <c r="Z270" s="8"/>
      <c r="AA270" s="8"/>
    </row>
    <row r="271" ht="14.25" customHeight="1" spans="1:27" x14ac:dyDescent="0.25">
      <c r="A271" s="8"/>
      <c r="B271" s="23"/>
      <c r="C271" s="23"/>
      <c r="D271" s="23"/>
      <c r="E271" s="23"/>
      <c r="F271" s="23"/>
      <c r="G271" s="8"/>
      <c r="H271" s="8"/>
      <c r="I271" s="8"/>
      <c r="J271" s="8"/>
      <c r="K271" s="8"/>
      <c r="L271" s="8"/>
      <c r="M271" s="8"/>
      <c r="N271" s="8"/>
      <c r="O271" s="8"/>
      <c r="P271" s="8"/>
      <c r="Q271" s="8"/>
      <c r="R271" s="8"/>
      <c r="S271" s="8"/>
      <c r="T271" s="8"/>
      <c r="U271" s="8"/>
      <c r="V271" s="8"/>
      <c r="W271" s="8"/>
      <c r="X271" s="8"/>
      <c r="Y271" s="8"/>
      <c r="Z271" s="8"/>
      <c r="AA271" s="8"/>
    </row>
    <row r="272" ht="14.25" customHeight="1" spans="1:27" x14ac:dyDescent="0.25">
      <c r="A272" s="8"/>
      <c r="B272" s="23"/>
      <c r="C272" s="23"/>
      <c r="D272" s="23"/>
      <c r="E272" s="23"/>
      <c r="F272" s="23"/>
      <c r="G272" s="8"/>
      <c r="H272" s="8"/>
      <c r="I272" s="8"/>
      <c r="J272" s="8"/>
      <c r="K272" s="8"/>
      <c r="L272" s="8"/>
      <c r="M272" s="8"/>
      <c r="N272" s="8"/>
      <c r="O272" s="8"/>
      <c r="P272" s="8"/>
      <c r="Q272" s="8"/>
      <c r="R272" s="8"/>
      <c r="S272" s="8"/>
      <c r="T272" s="8"/>
      <c r="U272" s="8"/>
      <c r="V272" s="8"/>
      <c r="W272" s="8"/>
      <c r="X272" s="8"/>
      <c r="Y272" s="8"/>
      <c r="Z272" s="8"/>
      <c r="AA272" s="8"/>
    </row>
    <row r="273" ht="14.25" customHeight="1" spans="1:27" x14ac:dyDescent="0.25">
      <c r="A273" s="8"/>
      <c r="B273" s="23"/>
      <c r="C273" s="23"/>
      <c r="D273" s="23"/>
      <c r="E273" s="23"/>
      <c r="F273" s="23"/>
      <c r="G273" s="8"/>
      <c r="H273" s="8"/>
      <c r="I273" s="8"/>
      <c r="J273" s="8"/>
      <c r="K273" s="8"/>
      <c r="L273" s="8"/>
      <c r="M273" s="8"/>
      <c r="N273" s="8"/>
      <c r="O273" s="8"/>
      <c r="P273" s="8"/>
      <c r="Q273" s="8"/>
      <c r="R273" s="8"/>
      <c r="S273" s="8"/>
      <c r="T273" s="8"/>
      <c r="U273" s="8"/>
      <c r="V273" s="8"/>
      <c r="W273" s="8"/>
      <c r="X273" s="8"/>
      <c r="Y273" s="8"/>
      <c r="Z273" s="8"/>
      <c r="AA273" s="8"/>
    </row>
    <row r="274" ht="14.25" customHeight="1" spans="1:27" x14ac:dyDescent="0.25">
      <c r="A274" s="8"/>
      <c r="B274" s="23"/>
      <c r="C274" s="23"/>
      <c r="D274" s="23"/>
      <c r="E274" s="23"/>
      <c r="F274" s="23"/>
      <c r="G274" s="8"/>
      <c r="H274" s="8"/>
      <c r="I274" s="8"/>
      <c r="J274" s="8"/>
      <c r="K274" s="8"/>
      <c r="L274" s="8"/>
      <c r="M274" s="8"/>
      <c r="N274" s="8"/>
      <c r="O274" s="8"/>
      <c r="P274" s="8"/>
      <c r="Q274" s="8"/>
      <c r="R274" s="8"/>
      <c r="S274" s="8"/>
      <c r="T274" s="8"/>
      <c r="U274" s="8"/>
      <c r="V274" s="8"/>
      <c r="W274" s="8"/>
      <c r="X274" s="8"/>
      <c r="Y274" s="8"/>
      <c r="Z274" s="8"/>
      <c r="AA274" s="8"/>
    </row>
    <row r="275" ht="14.25" customHeight="1" spans="1:27" x14ac:dyDescent="0.25">
      <c r="A275" s="8"/>
      <c r="B275" s="23"/>
      <c r="C275" s="23"/>
      <c r="D275" s="23"/>
      <c r="E275" s="23"/>
      <c r="F275" s="23"/>
      <c r="G275" s="8"/>
      <c r="H275" s="8"/>
      <c r="I275" s="8"/>
      <c r="J275" s="8"/>
      <c r="K275" s="8"/>
      <c r="L275" s="8"/>
      <c r="M275" s="8"/>
      <c r="N275" s="8"/>
      <c r="O275" s="8"/>
      <c r="P275" s="8"/>
      <c r="Q275" s="8"/>
      <c r="R275" s="8"/>
      <c r="S275" s="8"/>
      <c r="T275" s="8"/>
      <c r="U275" s="8"/>
      <c r="V275" s="8"/>
      <c r="W275" s="8"/>
      <c r="X275" s="8"/>
      <c r="Y275" s="8"/>
      <c r="Z275" s="8"/>
      <c r="AA275" s="8"/>
    </row>
    <row r="276" ht="14.25" customHeight="1" spans="1:27" x14ac:dyDescent="0.25">
      <c r="A276" s="8"/>
      <c r="B276" s="23"/>
      <c r="C276" s="23"/>
      <c r="D276" s="23"/>
      <c r="E276" s="23"/>
      <c r="F276" s="23"/>
      <c r="G276" s="8"/>
      <c r="H276" s="8"/>
      <c r="I276" s="8"/>
      <c r="J276" s="8"/>
      <c r="K276" s="8"/>
      <c r="L276" s="8"/>
      <c r="M276" s="8"/>
      <c r="N276" s="8"/>
      <c r="O276" s="8"/>
      <c r="P276" s="8"/>
      <c r="Q276" s="8"/>
      <c r="R276" s="8"/>
      <c r="S276" s="8"/>
      <c r="T276" s="8"/>
      <c r="U276" s="8"/>
      <c r="V276" s="8"/>
      <c r="W276" s="8"/>
      <c r="X276" s="8"/>
      <c r="Y276" s="8"/>
      <c r="Z276" s="8"/>
      <c r="AA276" s="8"/>
    </row>
    <row r="277" ht="14.25" customHeight="1" spans="1:27" x14ac:dyDescent="0.25">
      <c r="A277" s="8"/>
      <c r="B277" s="23"/>
      <c r="C277" s="23"/>
      <c r="D277" s="23"/>
      <c r="E277" s="23"/>
      <c r="F277" s="23"/>
      <c r="G277" s="8"/>
      <c r="H277" s="8"/>
      <c r="I277" s="8"/>
      <c r="J277" s="8"/>
      <c r="K277" s="8"/>
      <c r="L277" s="8"/>
      <c r="M277" s="8"/>
      <c r="N277" s="8"/>
      <c r="O277" s="8"/>
      <c r="P277" s="8"/>
      <c r="Q277" s="8"/>
      <c r="R277" s="8"/>
      <c r="S277" s="8"/>
      <c r="T277" s="8"/>
      <c r="U277" s="8"/>
      <c r="V277" s="8"/>
      <c r="W277" s="8"/>
      <c r="X277" s="8"/>
      <c r="Y277" s="8"/>
      <c r="Z277" s="8"/>
      <c r="AA277" s="8"/>
    </row>
    <row r="278" ht="14.25" customHeight="1" spans="1:27" x14ac:dyDescent="0.25">
      <c r="A278" s="8"/>
      <c r="B278" s="23"/>
      <c r="C278" s="23"/>
      <c r="D278" s="23"/>
      <c r="E278" s="23"/>
      <c r="F278" s="23"/>
      <c r="G278" s="8"/>
      <c r="H278" s="8"/>
      <c r="I278" s="8"/>
      <c r="J278" s="8"/>
      <c r="K278" s="8"/>
      <c r="L278" s="8"/>
      <c r="M278" s="8"/>
      <c r="N278" s="8"/>
      <c r="O278" s="8"/>
      <c r="P278" s="8"/>
      <c r="Q278" s="8"/>
      <c r="R278" s="8"/>
      <c r="S278" s="8"/>
      <c r="T278" s="8"/>
      <c r="U278" s="8"/>
      <c r="V278" s="8"/>
      <c r="W278" s="8"/>
      <c r="X278" s="8"/>
      <c r="Y278" s="8"/>
      <c r="Z278" s="8"/>
      <c r="AA278" s="8"/>
    </row>
    <row r="279" ht="14.25" customHeight="1" spans="1:27" x14ac:dyDescent="0.25">
      <c r="A279" s="8"/>
      <c r="B279" s="23"/>
      <c r="C279" s="23"/>
      <c r="D279" s="23"/>
      <c r="E279" s="23"/>
      <c r="F279" s="23"/>
      <c r="G279" s="8"/>
      <c r="H279" s="8"/>
      <c r="I279" s="8"/>
      <c r="J279" s="8"/>
      <c r="K279" s="8"/>
      <c r="L279" s="8"/>
      <c r="M279" s="8"/>
      <c r="N279" s="8"/>
      <c r="O279" s="8"/>
      <c r="P279" s="8"/>
      <c r="Q279" s="8"/>
      <c r="R279" s="8"/>
      <c r="S279" s="8"/>
      <c r="T279" s="8"/>
      <c r="U279" s="8"/>
      <c r="V279" s="8"/>
      <c r="W279" s="8"/>
      <c r="X279" s="8"/>
      <c r="Y279" s="8"/>
      <c r="Z279" s="8"/>
      <c r="AA279" s="8"/>
    </row>
    <row r="280" ht="14.25" customHeight="1" spans="1:27" x14ac:dyDescent="0.25">
      <c r="A280" s="8"/>
      <c r="B280" s="23"/>
      <c r="C280" s="23"/>
      <c r="D280" s="23"/>
      <c r="E280" s="23"/>
      <c r="F280" s="23"/>
      <c r="G280" s="8"/>
      <c r="H280" s="8"/>
      <c r="I280" s="8"/>
      <c r="J280" s="8"/>
      <c r="K280" s="8"/>
      <c r="L280" s="8"/>
      <c r="M280" s="8"/>
      <c r="N280" s="8"/>
      <c r="O280" s="8"/>
      <c r="P280" s="8"/>
      <c r="Q280" s="8"/>
      <c r="R280" s="8"/>
      <c r="S280" s="8"/>
      <c r="T280" s="8"/>
      <c r="U280" s="8"/>
      <c r="V280" s="8"/>
      <c r="W280" s="8"/>
      <c r="X280" s="8"/>
      <c r="Y280" s="8"/>
      <c r="Z280" s="8"/>
      <c r="AA280" s="8"/>
    </row>
    <row r="281" ht="14.25" customHeight="1" spans="1:27" x14ac:dyDescent="0.25">
      <c r="A281" s="8"/>
      <c r="B281" s="23"/>
      <c r="C281" s="23"/>
      <c r="D281" s="23"/>
      <c r="E281" s="23"/>
      <c r="F281" s="23"/>
      <c r="G281" s="8"/>
      <c r="H281" s="8"/>
      <c r="I281" s="8"/>
      <c r="J281" s="8"/>
      <c r="K281" s="8"/>
      <c r="L281" s="8"/>
      <c r="M281" s="8"/>
      <c r="N281" s="8"/>
      <c r="O281" s="8"/>
      <c r="P281" s="8"/>
      <c r="Q281" s="8"/>
      <c r="R281" s="8"/>
      <c r="S281" s="8"/>
      <c r="T281" s="8"/>
      <c r="U281" s="8"/>
      <c r="V281" s="8"/>
      <c r="W281" s="8"/>
      <c r="X281" s="8"/>
      <c r="Y281" s="8"/>
      <c r="Z281" s="8"/>
      <c r="AA281" s="8"/>
    </row>
    <row r="282" ht="14.25" customHeight="1" spans="1:27" x14ac:dyDescent="0.25">
      <c r="A282" s="8"/>
      <c r="B282" s="23"/>
      <c r="C282" s="23"/>
      <c r="D282" s="23"/>
      <c r="E282" s="23"/>
      <c r="F282" s="23"/>
      <c r="G282" s="8"/>
      <c r="H282" s="8"/>
      <c r="I282" s="8"/>
      <c r="J282" s="8"/>
      <c r="K282" s="8"/>
      <c r="L282" s="8"/>
      <c r="M282" s="8"/>
      <c r="N282" s="8"/>
      <c r="O282" s="8"/>
      <c r="P282" s="8"/>
      <c r="Q282" s="8"/>
      <c r="R282" s="8"/>
      <c r="S282" s="8"/>
      <c r="T282" s="8"/>
      <c r="U282" s="8"/>
      <c r="V282" s="8"/>
      <c r="W282" s="8"/>
      <c r="X282" s="8"/>
      <c r="Y282" s="8"/>
      <c r="Z282" s="8"/>
      <c r="AA282" s="8"/>
    </row>
    <row r="283" ht="14.25" customHeight="1" spans="1:27" x14ac:dyDescent="0.25">
      <c r="A283" s="8"/>
      <c r="B283" s="23"/>
      <c r="C283" s="23"/>
      <c r="D283" s="23"/>
      <c r="E283" s="23"/>
      <c r="F283" s="23"/>
      <c r="G283" s="8"/>
      <c r="H283" s="8"/>
      <c r="I283" s="8"/>
      <c r="J283" s="8"/>
      <c r="K283" s="8"/>
      <c r="L283" s="8"/>
      <c r="M283" s="8"/>
      <c r="N283" s="8"/>
      <c r="O283" s="8"/>
      <c r="P283" s="8"/>
      <c r="Q283" s="8"/>
      <c r="R283" s="8"/>
      <c r="S283" s="8"/>
      <c r="T283" s="8"/>
      <c r="U283" s="8"/>
      <c r="V283" s="8"/>
      <c r="W283" s="8"/>
      <c r="X283" s="8"/>
      <c r="Y283" s="8"/>
      <c r="Z283" s="8"/>
      <c r="AA283" s="8"/>
    </row>
    <row r="284" ht="14.25" customHeight="1" spans="1:27" x14ac:dyDescent="0.25">
      <c r="A284" s="8"/>
      <c r="B284" s="23"/>
      <c r="C284" s="23"/>
      <c r="D284" s="23"/>
      <c r="E284" s="23"/>
      <c r="F284" s="23"/>
      <c r="G284" s="8"/>
      <c r="H284" s="8"/>
      <c r="I284" s="8"/>
      <c r="J284" s="8"/>
      <c r="K284" s="8"/>
      <c r="L284" s="8"/>
      <c r="M284" s="8"/>
      <c r="N284" s="8"/>
      <c r="O284" s="8"/>
      <c r="P284" s="8"/>
      <c r="Q284" s="8"/>
      <c r="R284" s="8"/>
      <c r="S284" s="8"/>
      <c r="T284" s="8"/>
      <c r="U284" s="8"/>
      <c r="V284" s="8"/>
      <c r="W284" s="8"/>
      <c r="X284" s="8"/>
      <c r="Y284" s="8"/>
      <c r="Z284" s="8"/>
      <c r="AA284" s="8"/>
    </row>
    <row r="285" ht="14.25" customHeight="1" spans="1:27" x14ac:dyDescent="0.25">
      <c r="A285" s="8"/>
      <c r="B285" s="23"/>
      <c r="C285" s="23"/>
      <c r="D285" s="23"/>
      <c r="E285" s="23"/>
      <c r="F285" s="23"/>
      <c r="G285" s="8"/>
      <c r="H285" s="8"/>
      <c r="I285" s="8"/>
      <c r="J285" s="8"/>
      <c r="K285" s="8"/>
      <c r="L285" s="8"/>
      <c r="M285" s="8"/>
      <c r="N285" s="8"/>
      <c r="O285" s="8"/>
      <c r="P285" s="8"/>
      <c r="Q285" s="8"/>
      <c r="R285" s="8"/>
      <c r="S285" s="8"/>
      <c r="T285" s="8"/>
      <c r="U285" s="8"/>
      <c r="V285" s="8"/>
      <c r="W285" s="8"/>
      <c r="X285" s="8"/>
      <c r="Y285" s="8"/>
      <c r="Z285" s="8"/>
      <c r="AA285" s="8"/>
    </row>
    <row r="286" ht="14.25" customHeight="1" spans="1:27" x14ac:dyDescent="0.25">
      <c r="A286" s="8"/>
      <c r="B286" s="23"/>
      <c r="C286" s="23"/>
      <c r="D286" s="23"/>
      <c r="E286" s="23"/>
      <c r="F286" s="23"/>
      <c r="G286" s="8"/>
      <c r="H286" s="8"/>
      <c r="I286" s="8"/>
      <c r="J286" s="8"/>
      <c r="K286" s="8"/>
      <c r="L286" s="8"/>
      <c r="M286" s="8"/>
      <c r="N286" s="8"/>
      <c r="O286" s="8"/>
      <c r="P286" s="8"/>
      <c r="Q286" s="8"/>
      <c r="R286" s="8"/>
      <c r="S286" s="8"/>
      <c r="T286" s="8"/>
      <c r="U286" s="8"/>
      <c r="V286" s="8"/>
      <c r="W286" s="8"/>
      <c r="X286" s="8"/>
      <c r="Y286" s="8"/>
      <c r="Z286" s="8"/>
      <c r="AA286" s="8"/>
    </row>
    <row r="287" ht="14.25" customHeight="1" spans="1:27" x14ac:dyDescent="0.25">
      <c r="A287" s="8"/>
      <c r="B287" s="23"/>
      <c r="C287" s="23"/>
      <c r="D287" s="23"/>
      <c r="E287" s="23"/>
      <c r="F287" s="23"/>
      <c r="G287" s="8"/>
      <c r="H287" s="8"/>
      <c r="I287" s="8"/>
      <c r="J287" s="8"/>
      <c r="K287" s="8"/>
      <c r="L287" s="8"/>
      <c r="M287" s="8"/>
      <c r="N287" s="8"/>
      <c r="O287" s="8"/>
      <c r="P287" s="8"/>
      <c r="Q287" s="8"/>
      <c r="R287" s="8"/>
      <c r="S287" s="8"/>
      <c r="T287" s="8"/>
      <c r="U287" s="8"/>
      <c r="V287" s="8"/>
      <c r="W287" s="8"/>
      <c r="X287" s="8"/>
      <c r="Y287" s="8"/>
      <c r="Z287" s="8"/>
      <c r="AA287" s="8"/>
    </row>
    <row r="288" ht="14.25" customHeight="1" spans="1:27" x14ac:dyDescent="0.25">
      <c r="A288" s="8"/>
      <c r="B288" s="23"/>
      <c r="C288" s="23"/>
      <c r="D288" s="23"/>
      <c r="E288" s="23"/>
      <c r="F288" s="23"/>
      <c r="G288" s="8"/>
      <c r="H288" s="8"/>
      <c r="I288" s="8"/>
      <c r="J288" s="8"/>
      <c r="K288" s="8"/>
      <c r="L288" s="8"/>
      <c r="M288" s="8"/>
      <c r="N288" s="8"/>
      <c r="O288" s="8"/>
      <c r="P288" s="8"/>
      <c r="Q288" s="8"/>
      <c r="R288" s="8"/>
      <c r="S288" s="8"/>
      <c r="T288" s="8"/>
      <c r="U288" s="8"/>
      <c r="V288" s="8"/>
      <c r="W288" s="8"/>
      <c r="X288" s="8"/>
      <c r="Y288" s="8"/>
      <c r="Z288" s="8"/>
      <c r="AA288" s="8"/>
    </row>
    <row r="289" ht="14.25" customHeight="1" spans="1:27" x14ac:dyDescent="0.25">
      <c r="A289" s="8"/>
      <c r="B289" s="23"/>
      <c r="C289" s="23"/>
      <c r="D289" s="23"/>
      <c r="E289" s="23"/>
      <c r="F289" s="23"/>
      <c r="G289" s="8"/>
      <c r="H289" s="8"/>
      <c r="I289" s="8"/>
      <c r="J289" s="8"/>
      <c r="K289" s="8"/>
      <c r="L289" s="8"/>
      <c r="M289" s="8"/>
      <c r="N289" s="8"/>
      <c r="O289" s="8"/>
      <c r="P289" s="8"/>
      <c r="Q289" s="8"/>
      <c r="R289" s="8"/>
      <c r="S289" s="8"/>
      <c r="T289" s="8"/>
      <c r="U289" s="8"/>
      <c r="V289" s="8"/>
      <c r="W289" s="8"/>
      <c r="X289" s="8"/>
      <c r="Y289" s="8"/>
      <c r="Z289" s="8"/>
      <c r="AA289" s="8"/>
    </row>
    <row r="290" ht="14.25" customHeight="1" spans="1:27" x14ac:dyDescent="0.25">
      <c r="A290" s="8"/>
      <c r="B290" s="23"/>
      <c r="C290" s="23"/>
      <c r="D290" s="23"/>
      <c r="E290" s="23"/>
      <c r="F290" s="23"/>
      <c r="G290" s="8"/>
      <c r="H290" s="8"/>
      <c r="I290" s="8"/>
      <c r="J290" s="8"/>
      <c r="K290" s="8"/>
      <c r="L290" s="8"/>
      <c r="M290" s="8"/>
      <c r="N290" s="8"/>
      <c r="O290" s="8"/>
      <c r="P290" s="8"/>
      <c r="Q290" s="8"/>
      <c r="R290" s="8"/>
      <c r="S290" s="8"/>
      <c r="T290" s="8"/>
      <c r="U290" s="8"/>
      <c r="V290" s="8"/>
      <c r="W290" s="8"/>
      <c r="X290" s="8"/>
      <c r="Y290" s="8"/>
      <c r="Z290" s="8"/>
      <c r="AA290" s="8"/>
    </row>
    <row r="291" ht="14.25" customHeight="1" spans="1:27" x14ac:dyDescent="0.25">
      <c r="A291" s="8"/>
      <c r="B291" s="23"/>
      <c r="C291" s="23"/>
      <c r="D291" s="23"/>
      <c r="E291" s="23"/>
      <c r="F291" s="23"/>
      <c r="G291" s="8"/>
      <c r="H291" s="8"/>
      <c r="I291" s="8"/>
      <c r="J291" s="8"/>
      <c r="K291" s="8"/>
      <c r="L291" s="8"/>
      <c r="M291" s="8"/>
      <c r="N291" s="8"/>
      <c r="O291" s="8"/>
      <c r="P291" s="8"/>
      <c r="Q291" s="8"/>
      <c r="R291" s="8"/>
      <c r="S291" s="8"/>
      <c r="T291" s="8"/>
      <c r="U291" s="8"/>
      <c r="V291" s="8"/>
      <c r="W291" s="8"/>
      <c r="X291" s="8"/>
      <c r="Y291" s="8"/>
      <c r="Z291" s="8"/>
      <c r="AA291" s="8"/>
    </row>
    <row r="292" ht="14.25" customHeight="1" spans="1:27" x14ac:dyDescent="0.25">
      <c r="A292" s="8"/>
      <c r="B292" s="23"/>
      <c r="C292" s="23"/>
      <c r="D292" s="23"/>
      <c r="E292" s="23"/>
      <c r="F292" s="23"/>
      <c r="G292" s="8"/>
      <c r="H292" s="8"/>
      <c r="I292" s="8"/>
      <c r="J292" s="8"/>
      <c r="K292" s="8"/>
      <c r="L292" s="8"/>
      <c r="M292" s="8"/>
      <c r="N292" s="8"/>
      <c r="O292" s="8"/>
      <c r="P292" s="8"/>
      <c r="Q292" s="8"/>
      <c r="R292" s="8"/>
      <c r="S292" s="8"/>
      <c r="T292" s="8"/>
      <c r="U292" s="8"/>
      <c r="V292" s="8"/>
      <c r="W292" s="8"/>
      <c r="X292" s="8"/>
      <c r="Y292" s="8"/>
      <c r="Z292" s="8"/>
      <c r="AA292" s="8"/>
    </row>
    <row r="293" ht="14.25" customHeight="1" spans="1:27" x14ac:dyDescent="0.25">
      <c r="A293" s="8"/>
      <c r="B293" s="23"/>
      <c r="C293" s="23"/>
      <c r="D293" s="23"/>
      <c r="E293" s="23"/>
      <c r="F293" s="23"/>
      <c r="G293" s="8"/>
      <c r="H293" s="8"/>
      <c r="I293" s="8"/>
      <c r="J293" s="8"/>
      <c r="K293" s="8"/>
      <c r="L293" s="8"/>
      <c r="M293" s="8"/>
      <c r="N293" s="8"/>
      <c r="O293" s="8"/>
      <c r="P293" s="8"/>
      <c r="Q293" s="8"/>
      <c r="R293" s="8"/>
      <c r="S293" s="8"/>
      <c r="T293" s="8"/>
      <c r="U293" s="8"/>
      <c r="V293" s="8"/>
      <c r="W293" s="8"/>
      <c r="X293" s="8"/>
      <c r="Y293" s="8"/>
      <c r="Z293" s="8"/>
      <c r="AA293" s="8"/>
    </row>
    <row r="294" ht="14.25" customHeight="1" spans="1:27" x14ac:dyDescent="0.25">
      <c r="A294" s="8"/>
      <c r="B294" s="23"/>
      <c r="C294" s="23"/>
      <c r="D294" s="23"/>
      <c r="E294" s="23"/>
      <c r="F294" s="23"/>
      <c r="G294" s="8"/>
      <c r="H294" s="8"/>
      <c r="I294" s="8"/>
      <c r="J294" s="8"/>
      <c r="K294" s="8"/>
      <c r="L294" s="8"/>
      <c r="M294" s="8"/>
      <c r="N294" s="8"/>
      <c r="O294" s="8"/>
      <c r="P294" s="8"/>
      <c r="Q294" s="8"/>
      <c r="R294" s="8"/>
      <c r="S294" s="8"/>
      <c r="T294" s="8"/>
      <c r="U294" s="8"/>
      <c r="V294" s="8"/>
      <c r="W294" s="8"/>
      <c r="X294" s="8"/>
      <c r="Y294" s="8"/>
      <c r="Z294" s="8"/>
      <c r="AA294" s="8"/>
    </row>
    <row r="295" ht="14.25" customHeight="1" spans="1:27" x14ac:dyDescent="0.25">
      <c r="A295" s="8"/>
      <c r="B295" s="23"/>
      <c r="C295" s="23"/>
      <c r="D295" s="23"/>
      <c r="E295" s="23"/>
      <c r="F295" s="23"/>
      <c r="G295" s="8"/>
      <c r="H295" s="8"/>
      <c r="I295" s="8"/>
      <c r="J295" s="8"/>
      <c r="K295" s="8"/>
      <c r="L295" s="8"/>
      <c r="M295" s="8"/>
      <c r="N295" s="8"/>
      <c r="O295" s="8"/>
      <c r="P295" s="8"/>
      <c r="Q295" s="8"/>
      <c r="R295" s="8"/>
      <c r="S295" s="8"/>
      <c r="T295" s="8"/>
      <c r="U295" s="8"/>
      <c r="V295" s="8"/>
      <c r="W295" s="8"/>
      <c r="X295" s="8"/>
      <c r="Y295" s="8"/>
      <c r="Z295" s="8"/>
      <c r="AA295" s="8"/>
    </row>
    <row r="296" ht="14.25" customHeight="1" spans="1:27" x14ac:dyDescent="0.25">
      <c r="A296" s="8"/>
      <c r="B296" s="23"/>
      <c r="C296" s="23"/>
      <c r="D296" s="23"/>
      <c r="E296" s="23"/>
      <c r="F296" s="23"/>
      <c r="G296" s="8"/>
      <c r="H296" s="8"/>
      <c r="I296" s="8"/>
      <c r="J296" s="8"/>
      <c r="K296" s="8"/>
      <c r="L296" s="8"/>
      <c r="M296" s="8"/>
      <c r="N296" s="8"/>
      <c r="O296" s="8"/>
      <c r="P296" s="8"/>
      <c r="Q296" s="8"/>
      <c r="R296" s="8"/>
      <c r="S296" s="8"/>
      <c r="T296" s="8"/>
      <c r="U296" s="8"/>
      <c r="V296" s="8"/>
      <c r="W296" s="8"/>
      <c r="X296" s="8"/>
      <c r="Y296" s="8"/>
      <c r="Z296" s="8"/>
      <c r="AA296" s="8"/>
    </row>
    <row r="297" ht="14.25" customHeight="1" spans="1:27" x14ac:dyDescent="0.25">
      <c r="A297" s="8"/>
      <c r="B297" s="23"/>
      <c r="C297" s="23"/>
      <c r="D297" s="23"/>
      <c r="E297" s="23"/>
      <c r="F297" s="23"/>
      <c r="G297" s="8"/>
      <c r="H297" s="8"/>
      <c r="I297" s="8"/>
      <c r="J297" s="8"/>
      <c r="K297" s="8"/>
      <c r="L297" s="8"/>
      <c r="M297" s="8"/>
      <c r="N297" s="8"/>
      <c r="O297" s="8"/>
      <c r="P297" s="8"/>
      <c r="Q297" s="8"/>
      <c r="R297" s="8"/>
      <c r="S297" s="8"/>
      <c r="T297" s="8"/>
      <c r="U297" s="8"/>
      <c r="V297" s="8"/>
      <c r="W297" s="8"/>
      <c r="X297" s="8"/>
      <c r="Y297" s="8"/>
      <c r="Z297" s="8"/>
      <c r="AA297" s="8"/>
    </row>
    <row r="298" ht="14.25" customHeight="1" spans="1:27" x14ac:dyDescent="0.25">
      <c r="A298" s="8"/>
      <c r="B298" s="23"/>
      <c r="C298" s="23"/>
      <c r="D298" s="23"/>
      <c r="E298" s="23"/>
      <c r="F298" s="23"/>
      <c r="G298" s="8"/>
      <c r="H298" s="8"/>
      <c r="I298" s="8"/>
      <c r="J298" s="8"/>
      <c r="K298" s="8"/>
      <c r="L298" s="8"/>
      <c r="M298" s="8"/>
      <c r="N298" s="8"/>
      <c r="O298" s="8"/>
      <c r="P298" s="8"/>
      <c r="Q298" s="8"/>
      <c r="R298" s="8"/>
      <c r="S298" s="8"/>
      <c r="T298" s="8"/>
      <c r="U298" s="8"/>
      <c r="V298" s="8"/>
      <c r="W298" s="8"/>
      <c r="X298" s="8"/>
      <c r="Y298" s="8"/>
      <c r="Z298" s="8"/>
      <c r="AA298" s="8"/>
    </row>
    <row r="299" ht="14.25" customHeight="1" spans="1:27" x14ac:dyDescent="0.25">
      <c r="A299" s="8"/>
      <c r="B299" s="23"/>
      <c r="C299" s="23"/>
      <c r="D299" s="23"/>
      <c r="E299" s="23"/>
      <c r="F299" s="23"/>
      <c r="G299" s="8"/>
      <c r="H299" s="8"/>
      <c r="I299" s="8"/>
      <c r="J299" s="8"/>
      <c r="K299" s="8"/>
      <c r="L299" s="8"/>
      <c r="M299" s="8"/>
      <c r="N299" s="8"/>
      <c r="O299" s="8"/>
      <c r="P299" s="8"/>
      <c r="Q299" s="8"/>
      <c r="R299" s="8"/>
      <c r="S299" s="8"/>
      <c r="T299" s="8"/>
      <c r="U299" s="8"/>
      <c r="V299" s="8"/>
      <c r="W299" s="8"/>
      <c r="X299" s="8"/>
      <c r="Y299" s="8"/>
      <c r="Z299" s="8"/>
      <c r="AA299" s="8"/>
    </row>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Recommendations</vt:lpstr>
      <vt:lpstr>Sheet1</vt:lpstr>
      <vt:lpstr>Benchmarking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2026-08-11T12:19:10Z</dcterms:created>
  <dcterms:modified xsi:type="dcterms:W3CDTF">2026-08-11T12:19:10Z</dcterms:modified>
</cp:coreProperties>
</file>