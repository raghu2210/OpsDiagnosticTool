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Master" state="visible" r:id="rId4"/>
    <sheet sheetId="2" name="Recommendations" state="visible" r:id="rId5"/>
    <sheet sheetId="3" name="KB Tracker" state="visible" r:id="rId6"/>
  </sheets>
  <calcPr calcId="171027"/>
</workbook>
</file>

<file path=xl/sharedStrings.xml><?xml version="1.0" encoding="utf-8"?>
<sst xmlns="http://schemas.openxmlformats.org/spreadsheetml/2006/main" count="2421" uniqueCount="731">
  <si>
    <t>module_id</t>
  </si>
  <si>
    <t>module_name</t>
  </si>
  <si>
    <t>area_id</t>
  </si>
  <si>
    <t>area_name</t>
  </si>
  <si>
    <t>area_weight</t>
  </si>
  <si>
    <t>subpoint_id</t>
  </si>
  <si>
    <t>subpoint_name</t>
  </si>
  <si>
    <t>subpoint_weight</t>
  </si>
  <si>
    <t>score_1_desc</t>
  </si>
  <si>
    <t>score_2_desc</t>
  </si>
  <si>
    <t>score_3_desc</t>
  </si>
  <si>
    <t>score_4_desc</t>
  </si>
  <si>
    <t>score_5_desc</t>
  </si>
  <si>
    <t>version</t>
  </si>
  <si>
    <t>status</t>
  </si>
  <si>
    <t>WH_V1</t>
  </si>
  <si>
    <t>Warehousing - Full Domain Diagnostic</t>
  </si>
  <si>
    <t>A1</t>
  </si>
  <si>
    <t>Inward / Gate &amp; Dock Operations</t>
  </si>
  <si>
    <t>A1.1</t>
  </si>
  <si>
    <t>Appointment Scheduling</t>
  </si>
  <si>
    <t xml:space="preserve">&lt;20% of inbound trucks arrive against a pre-booked slot.
&gt;50% of daily volume clusters into a single 2-hour window, causing dock queuing beyond 2 hours.
No designated driver holding area - drivers and helpers congregate at the security gate causing congestion.
Dock-in time is not captured, so it cannot feed downstream GRN turnaround-time (TAT) SLAs.
Slot booking, where it exists, is a manual register entry with no QR/Booking-ID confirmation shared with the vendor ahead of arrival.</t>
  </si>
  <si>
    <t xml:space="preserve">20-50% slot adherence.
Peak-hour concentration still exceeds 40% of daily volume.
Average vehicle wait time 60-120 minutes.
An informal holding area exists but is not enforced, so congregation at the gate persists.
Dock-in time is logged manually but not used to track GRN TAT.
A digital slot booking exists for under 30% of vendors, without a QR/Booking-ID confirmation shared back to the vendor.</t>
  </si>
  <si>
    <t xml:space="preserve">50-75% slot adherence via a basic appointment scheduler.
Peak-hour concentration reduced to 25-40%.
Average wait time 30-60 minutes.
A designated driver holding area away from the security gate is marked and used for the majority of vehicles.
Dock-in time is captured and reviewed, but not yet formalized as an SLA input for GRN TAT.
A digital slot booking with a QR/Booking-ID confirmation (D-2 indent leading to a D-1 slot) is shared with 30-60% of vendors ahead of arrival.</t>
  </si>
  <si>
    <t xml:space="preserve">75-90% slot adherence with system-enforced windows.
Peak-hour concentration under 25%.
Average wait time under 30 minutes.
Adherence tracked daily.
The driver holding area is enforced with signage/marshalling, keeping the security gate clear.
Dock-in time is captured digitally and used as the starting SLA clock for downstream GRN TAT.
Digital slot booking with a QR/Booking-ID confirmation (D-2 indent to D-1 slot) is shared with 60-90% of vendors, scanned at the gate to authenticate arrival.</t>
  </si>
  <si>
    <t xml:space="preserve">&gt;90% slot adherence with automated vendor notification.
Load spread within +/-10% across all shift hours.
Average wait time under 15 minutes.
The holding area is fully marshalled with real-time occupancy visibility and zero congregation at the security gate.
Dock-in time is system-captured and forms the auditable SLA start-point for GRN TAT, with automated breach alerts.
Digital slot booking with a QR/Booking-ID confirmation (D-2 indent to D-1 slot) is shared with over 90% of vendors and scanned at the gate as the primary authentication step, with zero manual slot entries.</t>
  </si>
  <si>
    <t>active</t>
  </si>
  <si>
    <t>A1.2</t>
  </si>
  <si>
    <t>Gate Entry &amp; Documentation Verification</t>
  </si>
  <si>
    <t xml:space="preserve">&lt;50% of gate entries verified against indent/invoice before unloading starts (across the 70:30 vendor:courier vehicle mix, with no differentiated checklist for vendor vs courier vehicles).
Documentation/invoice mismatch rate above 30%.
Average gate-in time over 20 min/vehicle.
There is no driver-ID or vehicle-number authentication against the booked slot, and temperature checks (where done at all) are not scoped to any specific SKU or deviation threshold.</t>
  </si>
  <si>
    <t xml:space="preserve">50-70% verified pre-unload, using a single generic checklist applied to both vendor (70% of vehicle mix) and courier (30% of vehicle mix) vehicles.
Mismatch rate 20-30%.
Gate-in time 15-20 min/vehicle.
Driver-ID and vehicle-number are checked against the slot for under 30% of vehicles.
A temperature check is performed inconsistently and without a defined deviation threshold, even for 4°C-sensitive SKUs (e.g., mushrooms).</t>
  </si>
  <si>
    <t xml:space="preserve">70-85% verified against a defined checklist (vendor, invoice, indented qty, reefer temperature), with separate verification steps for vendor trucks (70% of vehicle mix) and courier vans (30% of vehicle mix).
Mismatch rate 10-20%.
Gate-in time 10-15 min.
Driver-ID and vehicle-number are authenticated against the vendor code, PO, and slot for 30-60% of vehicles.
Temperature is checked specifically for 4°C-sensitive SKUs (e.g., mushrooms) but the reject threshold (e.g., &gt;3°C deviation) is not consistently applied.</t>
  </si>
  <si>
    <t xml:space="preserve">85-95% verified via system-assisted matching (barcode/OCR) across both vendor (70% of vehicle mix) and courier (30% of vehicle mix) vehicle streams.
Mismatch rate 5-10%.
Gate-in time 5-10 min.
100% of reefer vehicles temperature-logged.
Driver-ID and vehicle-number authentication against vendor code, PO, and slot covers 60-90% of vehicles.
A defined temperature-reject rule (&gt;3°C deviation for 4°C-sensitive SKUs such as mushrooms only, not the full FnV range) is applied consistently.</t>
  </si>
  <si>
    <t xml:space="preserve">&gt;95% verified end-to-end digitally with zero manual entry, with vendor (70% of vehicle mix) and courier (30% of vehicle mix) streams tracked and matched separately.
Mismatch rate under 5%.
Gate-in time under 5 min.
Full audit trail with automated exception flags.
Driver-ID and vehicle-number authentication against vendor code, PO, and slot covers over 90% of vehicles with zero exceptions.
The &gt;3°C-deviation temperature-reject rule, scoped only to 4°C-sensitive SKUs (e.g., mushrooms), is enforced with zero missed checks and logged as part of the gate audit trail.</t>
  </si>
  <si>
    <t>A1.3</t>
  </si>
  <si>
    <t>Manpower Entry Management</t>
  </si>
  <si>
    <t xml:space="preserve">0% biometric/facial recognition coverage at shift changeovers.
Manual register only, with no zone-wise capturing of manpower entries (e.g., S&amp;G, packing, put-away, dispatch) against warehouse-sizing-based headcount norms.
Unauthorized-entry incidents exceed 60 per month.</t>
  </si>
  <si>
    <t xml:space="preserve">Under 30% biometric coverage.
Manual plus partial physical checks.
Zone-wise entry counts recorded ad hoc for under 30% of zones, not benchmarked against a sizing-based manpower plan.
Unauthorized-entry incidents 30-60 per month.</t>
  </si>
  <si>
    <t xml:space="preserve">30-60% facial recognition coverage at main shift changeovers.
Zone-wise manpower entry tracked for 30-60% of zones (e.g., S&amp;G, packing, put-away) against a defined warehouse-sizing-based headcount norm (illustrative only - e.g., ~10 for S&amp;G, ~25 for packing), reviewed periodically rather than daily.
Unauthorized-entry incidents 10-30 per month.</t>
  </si>
  <si>
    <t xml:space="preserve">60-90% coverage across all shifts and gates.
Zone-wise entry captured and reconciled daily for 60-90% of zones against the warehouse-sizing-based manpower plan, integrated with the attendance system.
Unauthorized-entry incidents under 10 per month, zero incidents in the last quarter.</t>
  </si>
  <si>
    <t xml:space="preserve">100% facial recognition and physical-check coverage across all shifts and gates.
Zone-wise manpower entry captured in real time for 100% of zones, with automated variance alerts against the warehouse-sizing-based headcount plan.
Zero unauthorized-entry incidents in the last 12 months.
Real-time anomaly alerts.</t>
  </si>
  <si>
    <t>A1.4</t>
  </si>
  <si>
    <t>Dock Management System</t>
  </si>
  <si>
    <t xml:space="preserve">No formal dock allocation.
Dock utilization under 50%.
Docks unnumbered or inconsistently numbered.</t>
  </si>
  <si>
    <t xml:space="preserve">Manual dock allocation sheet.
Utilization 50-65%.</t>
  </si>
  <si>
    <t xml:space="preserve">Defined dock allocation by vehicle size with numbered docks.
Utilization 65-80%.
FIFO followed for over 70% of vehicles.</t>
  </si>
  <si>
    <t xml:space="preserve">System-based dock scheduling with size-matched allocation.
Utilization 80-90%.
FIFO adherence above 90%.
Green-channel vehicles unloaded within 15 minutes.</t>
  </si>
  <si>
    <t xml:space="preserve">Fully automated dock-vehicle matching with real-time queuing.
Utilization above 90%.
FIFO adherence 100%.
Green-channel wait time under 10 minutes.</t>
  </si>
  <si>
    <t>A1.5</t>
  </si>
  <si>
    <t>Dock Buffers</t>
  </si>
  <si>
    <t xml:space="preserve">Under 25% of docks fitted with buffers.
More than 1 dock-damage incident per week.
No penalty framework for drivers causing repeat dock damage.
Physical damage to dock structures (bumpers, levelers, shelters, columns) not tracked or inspected separately from buffer coverage.</t>
  </si>
  <si>
    <t xml:space="preserve">25-50% buffer coverage.
1 dock-damage incident per week on average.
Repeat-offender drivers flagged informally but no defined penalty applied.
Physical dock-structure damage noted only when reported by staff, with no periodic inspection.</t>
  </si>
  <si>
    <t xml:space="preserve">50-75% buffer coverage.
1 dock-damage incident every 2 weeks.
A defined penalty (e.g., warning/fine) applied to drivers on a repeat incident.
Physical dock-structure damage inspected monthly and logged separately from buffer-related damage.</t>
  </si>
  <si>
    <t xml:space="preserve">75-95% buffer coverage.
Fewer than 1 dock-damage incident every 4 weeks.
A graded penalty scale (warning, fine, vendor/transporter review) enforced for repeat-offender drivers.
Periodic buffer-condition audits in place.
Physical dock-structure damage inspected weekly with defects tracked to closure.</t>
  </si>
  <si>
    <t xml:space="preserve">100% dock buffer coverage.
Zero damage incidents in the last 12 months.
Graded penalty scale for repeat-offender drivers strictly enforced with under 2% repeat-offense rate.
Preventive maintenance schedule tracked.
Zero unresolved physical dock-structure damage, verified via weekly inspection.</t>
  </si>
  <si>
    <t>A1.6</t>
  </si>
  <si>
    <t>Unloading Operations &amp; Floor Management</t>
  </si>
  <si>
    <t xml:space="preserve">No defined/target unloading SLA.
No dock-wise dedicated workforce assigned.
No defined palletisation zone (material is palletized wherever space is available, creating space constraints at the inbound gate).
No crate-stacking pattern defined (poor vertical space utilization).
Waste (e.g., vegetable trimmings) accumulates at the entry gate.
No separate lane/green-channel for reliable vendors or for dry-category inbound.
No bypass-routing flag exists for vendor pre-packed material, so pre-packed loads are routed through S&amp;G by default regardless of need.</t>
  </si>
  <si>
    <t xml:space="preserve">An unloading SLA is defined but tracked for under 30% of docks (benchmark: ~500 units/person/hour for pre-packed material).
Dock-wise workforce assignment is informal.
A palletisation zone is nominally marked but frequently encroached upon.
Crate stacking has no defined SOP.
Waste disposal remains near the inbound gate.
A bypass flag for vendor pre-packed material is used informally for under 30% of eligible loads.</t>
  </si>
  <si>
    <t xml:space="preserve">Unloading SLA (~500 units/person/hour pre-packed) is tracked for 30-60% of docks with a dock-wise supervisor-led team.
A visibly marked palletisation zone and sorting/grading area are maintained on most days.
A crate-stacking SOP (max stack height, brick/inline pattern) is defined but followed inconsistently.
A green channel exists for some reliable vendors.
Waste disposal has been relocated away from the inbound gate.
A bypass-routing flag for vendor pre-packed material, skipping S&amp;G and routing straight to packing/staging, is applied for 30-60% of eligible loads.</t>
  </si>
  <si>
    <t xml:space="preserve">Unloading SLA is tracked for 60-90% of docks against benchmark, with a dock-wise supervisor-led team on every shift.
Palletisation zone, unloading area, and S&amp;G area are marked and adhered to.
Crate-stacking SOP is followed on 70-95% of pallets.
A green channel is consistently used for reliable vendors.
FIFO lanes for S&amp;G are marked on the floor.
Dry-category inbound has a defined separate lane.
The bypass-routing flag for vendor pre-packed material is applied for 60-90% of eligible loads, tracked as part of the load-declaration step at gate/weighment.</t>
  </si>
  <si>
    <t xml:space="preserve">Unloading SLA is tracked for over 90% of docks and consistently meets/exceeds the ~500 units/person/hour benchmark, with a dock-wise supervisor-led team at all times.
Palletisation zone, unloading area, and S&amp;G area are marked, audited, and adhered to with zero space-constraint incidents.
Crate-stacking SOP compliance exceeds 95%.
Green-channel and dry-category lanes operate with zero cross-flow incidents.
Waste is cleared from a defined point on a fixed schedule.
The bypass-routing flag for vendor pre-packed material is applied for over 90% of eligible loads with zero mis-routes, fully integrated into the load-declaration and GRN-generation step.</t>
  </si>
  <si>
    <t>A1.7</t>
  </si>
  <si>
    <t>Weighment &amp; GRN Digitization</t>
  </si>
  <si>
    <t xml:space="preserve">Weighment data is logged manually for GRN/PO creation - error-prone and slow.
Weighment occurs downstream of S&amp;G, increasing vendor wait time and delaying PO closure.
The weighment area sits hard against the staging area with no clear aisle, creating a choke point.
Scale calibration is untracked.</t>
  </si>
  <si>
    <t xml:space="preserve">Manual logging accounts for over 70% of weighment transactions.
Weighment is still performed post-S&amp;G for the majority of vehicles.
The clear aisle between weighment and staging is under 1.5m or undefined.
Scale calibration is done ad hoc with no fixed schedule.</t>
  </si>
  <si>
    <t xml:space="preserve">Digital weighment is integrated with the WMS/GRN system for 30-60% of transactions.
Weighment has been shifted to the unloading stage for some vendor categories, reducing PO-closure delay.
A minimum 1.5m clear aisle between weighment and staging is maintained on most days.
Scales are calibrated on a defined but not strictly daily schedule.</t>
  </si>
  <si>
    <t xml:space="preserve">Digital weighment integrated with WMS/GRN covers 60-90% of transactions.
Weighment is performed at the unloading stage for the majority of vendors, ahead of S&amp;G.
The 1.5m clear-aisle buffer between weighment and staging is consistently maintained.
Calibrated scales with tare memory per packaging type are recalibrated on a defined schedule (daily recommended).
Digital weight logs are retained as an audit trail.</t>
  </si>
  <si>
    <t xml:space="preserve">Over 90% of weighment transactions are digitally integrated with WMS/GRN with zero manual entry.
Weighment is performed at the unloading stage for all applicable vendors, enabling same-day PO closure.
The 1.5m clear-aisle buffer is maintained with zero choke-point incidents.
Scales are recalibrated daily with tare memory per packaging type.
The digital weight log is used as a routine audit trail for supplier invoice reconciliation and shrinkage analysis.</t>
  </si>
  <si>
    <t>A1.8</t>
  </si>
  <si>
    <t>Gate Release Decision &amp; Capacity Gating</t>
  </si>
  <si>
    <t xml:space="preserve">Gate operates as a security checkpoint, not a capacity-gated release valve: trucks are waved onto the dock/yard regardless of whether a dock bay or staging space is available, with no reject / temp-reject / hold / bypass decision rule (checks vary guard-to-guard).
Gate-out has no exit slip or outbound-seal verification. Vehicles routinely block the dock and back up into S&amp;G congestion.</t>
  </si>
  <si>
    <t xml:space="preserve">A capacity check is attempted informally for under 30% of gate-ins (e.g., a phone call to the dock supervisor) with no defined time window, so vehicles sent to hold still cause dock-blocking regularly.
Reject/hold decisions depend on individual guard judgment.
Gate-out has no formal exit slip or seal check.</t>
  </si>
  <si>
    <t xml:space="preserve">A defined capacity check (dock bay + staging pallet positions available within a stated window, e.g., 15 minutes) gates 30-60% of gate-ins, routing 'no' decisions to the holding area.
A basic reject-vs-hold rule exists, but temp-reject (scoped to 4°C SKUs) and bypass-routing (pre-packed vendors) are not yet part of the same decision rule.
Gate-out issues an exit slip for the majority of dispatches but outbound-seal verification is inconsistent.</t>
  </si>
  <si>
    <t xml:space="preserve">Capacity-gated release (dock bay + staging space confirmed within 15 minutes) governs 60-90% of gate-ins.
The full reject / temp-reject / hold / bypass decision taxonomy is defined and applied consistently, with 'hold' vehicles routed to the designated holding area.
Gate-out issues an exit slip and verifies the outbound vehicle seal for the majority of dispatches.
Physical enablers (multi-lane entry, boom barrier, CCTV/tablet at the gate) are in place.</t>
  </si>
  <si>
    <t xml:space="preserve">Over 90% of gate-ins are capacity-gated in real time (dock bay + staging space confirmed within 15 minutes, tied live to the dock-management and staging systems), with zero blind releases and zero dock-blocking incidents.
The full reject / temp-reject / hold / bypass decision taxonomy is applied with a complete audit trail.
Gate-out is fully controlled (exit slip plus outbound-seal verification on 100% of dispatches).
Physical enablers (multi-lane entry with boom barrier, CCTV/tablet, and weighbridge where applicable) are fully deployed.</t>
  </si>
  <si>
    <t>A1.9</t>
  </si>
  <si>
    <t>Dock-to-Stock Time</t>
  </si>
  <si>
    <t>Dock-to-Stock Time (vehicle arrival to inventory available) exceeds 8 hours on average, with no visibility into which stage (dock-in, GRN, or putaway) drives the delay.</t>
  </si>
  <si>
    <t>Dock-to-Stock Time averages 5-8 hours.</t>
  </si>
  <si>
    <t>Dock-to-Stock Time averages 3-5 hours, tracked as a single facility-level number without a stage-wise breakdown.</t>
  </si>
  <si>
    <t>Dock-to-Stock Time averages 1.5-3 hours, broken down by dock-in, GRN TAT, and putaway TAT to flag the slowest stage.</t>
  </si>
  <si>
    <t>Dock-to-Stock Time is held under 1.5 hours on average, tracked in real time end-to-end (dock-in -&gt; GRN TAT -&gt; putaway TAT) with automated stage-wise breach alerts.</t>
  </si>
  <si>
    <t>A1.10</t>
  </si>
  <si>
    <t>Unloading TAT</t>
  </si>
  <si>
    <t>Unloading TAT (dock-in to unloading-complete) exceeds 90 minutes per vehicle on average.</t>
  </si>
  <si>
    <t>Unloading TAT averages 60-90 minutes per vehicle.</t>
  </si>
  <si>
    <t>Unloading TAT averages 40-60 minutes per vehicle, tracked per vehicle for the majority of dock-ins.</t>
  </si>
  <si>
    <t>Unloading TAT averages 25-40 minutes per vehicle, tracked per vehicle and reviewed daily against the unloading SLA.</t>
  </si>
  <si>
    <t>Unloading TAT is held under 25 minutes per vehicle for over 90% of dock-ins, tracked in real time and feeding the Dock-to-Stock Time KPI.</t>
  </si>
  <si>
    <t>A1.11</t>
  </si>
  <si>
    <t>Putaway TAT</t>
  </si>
  <si>
    <t>Putaway TAT (GRN complete to putaway complete) exceeds 6 hours, so goods sit unavailable to pick for most of a shift after GRN posting.</t>
  </si>
  <si>
    <t>Putaway TAT averages 4-6 hours.</t>
  </si>
  <si>
    <t>Putaway TAT averages 2-4 hours, tracked daily by zone.</t>
  </si>
  <si>
    <t>Putaway TAT averages 1-2 hours, tracked daily by zone/SKU against a defined target.</t>
  </si>
  <si>
    <t>Putaway TAT is held under 1 hour for over 90% of GRNs, tracked in real time by zone/SKU, closing the loop from GRN completion to pick-availability and feeding the Dock-to-Stock Time KPI.</t>
  </si>
  <si>
    <t>A2</t>
  </si>
  <si>
    <t>Quality Management</t>
  </si>
  <si>
    <t>A2.1</t>
  </si>
  <si>
    <t>QMS Framework</t>
  </si>
  <si>
    <t>0-2 of the 9 core QMS elements (policy, objectives, SOPs, exception handling, responsibility matrix, escalation matrix, risk analysis, complaints/feedback loop, documentation control) are documented.</t>
  </si>
  <si>
    <t xml:space="preserve">3-4 elements documented.
No formal review cycle in place.</t>
  </si>
  <si>
    <t xml:space="preserve">5-6 elements documented and in active use.
Reviewed annually.</t>
  </si>
  <si>
    <t>7-8 elements documented, tracked, and reviewed quarterly with defined ownership.</t>
  </si>
  <si>
    <t>All 9 elements fully documented, version-controlled, reviewed quarterly, and linked to a closed-loop CAPA process with under 5-day average closure time.</t>
  </si>
  <si>
    <t>A2.2</t>
  </si>
  <si>
    <t>Inbound Quality Check Norms</t>
  </si>
  <si>
    <t xml:space="preserve">No defined sampling percentage or rejection threshold.
Inspection is ad hoc, covering under 5% of inbound lots.
GRN is raised and approved without any dependency on a quality-check procedure or quality-team clearance.
Acceptance/rejection is based purely on visual inspection with no structured Arrival Quality Report (AQR) or fixed cutoff defined before unloading begins, and QC/vehicle rejection rates are not tracked by vendor or SKU.</t>
  </si>
  <si>
    <t xml:space="preserve">Sampling done on 5-10% of lots, but rejection threshold undefined or inconsistently applied.
GRN approval nominally requires quality-team sign-off, but this is often obtained after goods are already put away, not before GRN posting.
A written AQR format exists but fixed sampling/defect cutoffs are not consistently applied before unloading starts.
Rejection data is recorded but not segmented by vendor or SKU.</t>
  </si>
  <si>
    <t xml:space="preserve">Sampling fixed at approximately 10% of received quantity.
Rejection threshold set at 20% defect rate for full-lot rejection, but not segmented by SKU/category.
GRN approval is procedurally linked to quality-team clearance, but clearance is manual/paper-based and not enforced as a system hold.
A defined AQR is used for the majority of lots (e.g., 10% sampling, reject lot if defect &gt;20%), completed before unloading begins.
QC reject % and vehicle rejection % are tracked in aggregate but not yet split by vendor/SKU for a supplier scorecard.</t>
  </si>
  <si>
    <t xml:space="preserve">10% sampling and 20% rejection threshold applied and segmented by category (FnV vs dry), with batch/expiry and 70-80% shelf-life checks enforced.
GRN cannot be posted until the quality team records clearance against the defined inspection procedure.
AQR with fixed sampling/defect cutoffs is completed before unloading starts for 85-95% of lots.
QC reject % and vehicle rejection % are tracked by vendor and SKU and feed a periodic supplier scorecard.</t>
  </si>
  <si>
    <t xml:space="preserve">Sampling and rejection norms (10%/20%) defined per SKU category, digitally logged, with under 2% inspection-error rate and monthly trend analysis on rejection causes.
GRN approval is system-enforced with zero exceptions, released only on digital quality-team clearance against the defined procedure, with a full audit trail of inspector sign-off.
AQR is completed before unloading begins for over 95% of lots with zero exceptions.
QC reject % and vehicle rejection % by vendor and SKU are tracked in real time and drive an automated, continuously updated supplier scorecard used in vendor review.</t>
  </si>
  <si>
    <t>A2.3</t>
  </si>
  <si>
    <t>Return to Vendor Policy</t>
  </si>
  <si>
    <t xml:space="preserve">No defined return-to-vendor (RTV) policy.
Under 30% of returns closed same-day.</t>
  </si>
  <si>
    <t xml:space="preserve">Informal RTV process.
30-50% same-day closure.</t>
  </si>
  <si>
    <t xml:space="preserve">RTV policy defined by SKU category (hard/soft).
50-75% same-day closure.</t>
  </si>
  <si>
    <t xml:space="preserve">RTV policy defined and tracked.
75-95% same-day closure.
Space occupied by pending returns reviewed weekly.</t>
  </si>
  <si>
    <t xml:space="preserve">RTV fully systemized.
Over 95% same-day closure.
Zero aged-return inventory beyond 24 hours.</t>
  </si>
  <si>
    <t>A2.4</t>
  </si>
  <si>
    <t>Customer Complaint Tracking</t>
  </si>
  <si>
    <t xml:space="preserve">Complaint rate exceeds 3% of FnV volume handled, or is not tracked at all.
Complaint density is not tracked in PPM at all, or exceeds 500 PPM where estimated, so order-level density cannot be benchmarked against a quick-commerce/dark-store standard.</t>
  </si>
  <si>
    <t xml:space="preserve">Complaint rate tracked at 2.5-3%, with no root-cause analysis.
Complaints PPM runs at 200-500, calculated only occasionally/retrospectively.</t>
  </si>
  <si>
    <t xml:space="preserve">Complaint rate at the typical industry band of 2-2.5%, tracked monthly with basic categorization.
Complaints PPM runs at 100-200, tracked monthly alongside the %-of-volume metric.</t>
  </si>
  <si>
    <t xml:space="preserve">Complaint rate reduced to 1-2%, with root-cause analysis and corrective actions closed within 7 days.
Complaints PPM runs at 50-100, tracked weekly against a defined benchmark band.</t>
  </si>
  <si>
    <t xml:space="preserve">Complaint rate under 1% (best-in-class), with real-time tracking, root-cause analysis, and closed-loop resolution within 48 hours.
Complaints PPM is held under 50 (best-in-class), tracked daily against benchmark, giving both a wholesale (volume-based) and dark-store/quick-commerce (order-based) view of complaint density.</t>
  </si>
  <si>
    <t>A2.5</t>
  </si>
  <si>
    <t>Safety / Near-Miss Incidents</t>
  </si>
  <si>
    <t>Near-miss/safety incidents are not logged at all, or exceed 5 per week where informally counted.</t>
  </si>
  <si>
    <t>3-5 near-miss/safety incidents occur per week, logged reactively (typically only after a reportable injury).</t>
  </si>
  <si>
    <t>1-3 near-miss/safety incidents occur per week, logged daily but reviewed only monthly with no corrective-action tracking.</t>
  </si>
  <si>
    <t>Under 1 near-miss/safety incident per week, logged and reviewed daily with corrective actions tracked to closure for the majority of incidents.</t>
  </si>
  <si>
    <t>Zero reportable safety incidents and under 1 near-miss per month, logged and reviewed daily with corrective actions closed within a defined SLA.</t>
  </si>
  <si>
    <t>A2.6</t>
  </si>
  <si>
    <t>Chiller/Freezer Temperature Compliance %</t>
  </si>
  <si>
    <t>Ongoing chiller/freezer temperature compliance (beyond the inbound gate check in A1.2) is not monitored, or runs under 70% where spot-checked.</t>
  </si>
  <si>
    <t>Compliance runs at 70-85%, based on a few manual spot-checks a day.</t>
  </si>
  <si>
    <t>Compliance runs at 85-95%, logged daily via manual readings for the main cold zones.</t>
  </si>
  <si>
    <t>Compliance runs at 95-98%, logged continuously via sensors for the majority of cold-chain zones with daily breach review.</t>
  </si>
  <si>
    <t>Compliance exceeds 98%, monitored continuously via sensors across 100% of cold-chain zones with real-time breach alerts.</t>
  </si>
  <si>
    <t>A3</t>
  </si>
  <si>
    <t>Process Excellence &amp; Lean</t>
  </si>
  <si>
    <t>A3.1</t>
  </si>
  <si>
    <t>5S Implementation</t>
  </si>
  <si>
    <t xml:space="preserve">No formal 5S audit.
Audit score under 40% where measured at all.
No physical demarcation of aisles, S&amp;G/packing areas, storage space, buffer-pallet staging, packaging-material storage, or tools/machinery locations - floor markings, if any, are inconsistent or absent.
No designated area/zone name signage, fire extinguisher position signage, or fire exit signage is installed anywhere in the facility.</t>
  </si>
  <si>
    <t xml:space="preserve">5S introduced in a pilot area only.
Audit score 40-55%.
Floor marking/demarcation done for under 30% of the required zones (aisles, S&amp;G/packing spaces, storage, buffer-pallet staging, packaging material, tools/machinery), and only in the pilot area.
Signage exists for a few zones and fire extinguisher points only, limited to the pilot area; fire exits are marked but not consistently visible or illuminated.</t>
  </si>
  <si>
    <t xml:space="preserve">Sort/Set/Shine implemented facility-wide.
Audit score 55-70%.
Audits conducted quarterly.
Demarcation in place for 30-60% of required zones - e.g., aisles and storage racking are marked, but S&amp;G/packing space, buffer-pallet staging, packaging-material, and tools/machinery locations are only partially marked.
Designated area signage and fire extinguisher position signage are installed for 30-60% of required zones/points; fire exits are signed and illuminated for the main escape routes only.</t>
  </si>
  <si>
    <t xml:space="preserve">Standardized across all zones with monthly audits.
Score 70-85%.
Training conducted at least twice a year.
Demarcation covers 60-90% of required zones, including aisles, S&amp;G and packing space boundaries, storage space marking, buffer-pallet staging area, and packaging-material storage, with tools/machinery locations marked but not yet audited on a fixed schedule.
Area signage, fire extinguisher signage, and fire exit signage cover 60-90% of required zones/points/routes, checked alongside the periodic 5S review.</t>
  </si>
  <si>
    <t xml:space="preserve">5S sustained for over 12 months.
Audit score above 85%.
Daily checks, biannual training, and a documented continuous-improvement (Kaizen) count.
100% of zones demarcated and colour-coded - aisles, S&amp;G and packing spaces, storage space, buffer-pallet staging, packaging-material storage, and tools/machinery locations - with demarcation adherence audited as part of the daily 5S check.
100% of zones carry designated area signage, every fire extinguisher position is signed, and all fire exits/escape routes are signed, illuminated, and unobstructed - verified as part of the daily 5S and safety audit.</t>
  </si>
  <si>
    <t>A3.2</t>
  </si>
  <si>
    <t>Lean Principles Implementation</t>
  </si>
  <si>
    <t xml:space="preserve">0-1 of the 5 lean principles (value definition, value stream mapping, flow, pull, continuous improvement) deployed.
No PDCA or waste tracking.</t>
  </si>
  <si>
    <t xml:space="preserve">2 principles deployed (e.g., value stream mapping started).
PDCA used in under 20% of processes.</t>
  </si>
  <si>
    <t xml:space="preserve">3 principles deployed.
PDCA embedded in 20-50% of processes.
2-3 of the 8 waste types tracked.</t>
  </si>
  <si>
    <t xml:space="preserve">4 principles deployed with pull/JIT replenishment active.
PDCA in 50-80% of processes.
5-6 of the 8 waste types tracked with quarterly reduction targets.</t>
  </si>
  <si>
    <t xml:space="preserve">All 5 principles fully embedded.
PDCA in over 80% of processes.
All 8 waste types tracked with measurable year-on-year reduction of over 10%.</t>
  </si>
  <si>
    <t>A3.3</t>
  </si>
  <si>
    <t>Process Design (ITL &amp; Exception Flows)</t>
  </si>
  <si>
    <t>Under 30% of standard and exception scenarios documented in SOPs.</t>
  </si>
  <si>
    <t xml:space="preserve">30-50% documented.
Exception flows largely undocumented.</t>
  </si>
  <si>
    <t>50-75% documented, including major exception scenarios.</t>
  </si>
  <si>
    <t>75-95% documented and version-controlled, reviewed twice a year.</t>
  </si>
  <si>
    <t>Over 95% of scenarios (standard ITL plus exceptions) documented, digitized, and reviewed quarterly, with zero undocumented recurring exceptions.</t>
  </si>
  <si>
    <t>A4</t>
  </si>
  <si>
    <t>Sorting, Grading &amp; Packing Operations</t>
  </si>
  <si>
    <t>A4.1</t>
  </si>
  <si>
    <t>Sorting &amp; Grading Norms</t>
  </si>
  <si>
    <t xml:space="preserve">No defined size or quality standards (blemish-free, rot-free, infestation-free) for sorting/grading.
Criteria applied on 0% of SKUs.
No S&amp;G throughput SLA is defined (benchmark: ~70 units/person/hour for general S&amp;G, 400-500 units/person/shift for leafy cutting).
Piece-category SKUs (e.g., coconut, watermelon) are staffed randomly, causing significant throughput slowdown.</t>
  </si>
  <si>
    <t xml:space="preserve">Standards defined for under 30% of SKUs.
A throughput SLA is defined but tracked for under 30% of stations, with wide variance against the ~70 units/person/hour / 400-500 units/person/shift benchmarks.
Piece-category SKUs are not assigned to experienced manpower.</t>
  </si>
  <si>
    <t xml:space="preserve">Standards defined for 30-60% of SKUs, covering blemish, rot, infestation, and size checks.
Throughput SLA (~70 units/person/hour, 400-500/shift for leafy) is tracked for 30-60% of stations.
Experienced manpower is assigned to piece-category SKUs (coconut, watermelon) only inconsistently.</t>
  </si>
  <si>
    <t xml:space="preserve">Standards defined for 60-90% of SKUs, with grading accuracy audited monthly at over 90% accuracy.
Throughput SLA is tracked for 60-90% of stations, mostly within benchmark.
Experienced manpower is consistently assigned to piece-category SKUs, limiting their drag on overall S&amp;G throughput.</t>
  </si>
  <si>
    <t xml:space="preserve">Standards defined for 100% of SKUs.
Grading accuracy above 95%, audited weekly with a corrective feedback loop.
Throughput SLA is tracked for 100% of stations and consistently meets or exceeds benchmark (~70 units/person/hour, 400-500/shift leafy).
Piece-category SKUs are always staffed with experienced manpower, with throughput impact monitored and minimized.</t>
  </si>
  <si>
    <t>A4.2</t>
  </si>
  <si>
    <t>Packing Norms &amp; Productivity</t>
  </si>
  <si>
    <t xml:space="preserve">Packing productivity under 60 units/person/hour.
Packaging material (nets/boxes/LDP) not defined by SKU.
No shift-level SLA is tracked against the net/box/shrink packing benchmarks (~900-1,000 net, ~1,100-1,200 box, ~1,000-1,100 shrink units/person/shift).
Formed boxes are stacked directly on the worktop causing clutter.
Vendor-packed SKUs are routinely re-packed on arrival.
Chilled-category SKUs (e.g., apples, pears) are packed under ambient conditions with no dedicated chilled station.</t>
  </si>
  <si>
    <t xml:space="preserve">Productivity 60-80 units/person/hour.
Packaging material defined for under 50% of SKUs.
Shift-level SLA is tracked for under 30% of lines against the net/box/shrink benchmarks.
A formed-box staging shelf is used on under 30% of lines.
Vendor-pack alignment to FC standards covers under 30% of applicable vendors.
Chilled SKUs are packed ambient on over 70% of shifts.</t>
  </si>
  <si>
    <t xml:space="preserve">Productivity at the 80-100 units/person/hour benchmark band.
Packaging material defined per SKU.
Shift-level SLA is tracked for 30-60% of lines and trending toward the net/box/shrink benchmarks.
A formed-box staging shelf decongests the worktop on 30-60% of lines.
30-60% of applicable vendors pack to FC standard, removing the re-pack step.
A dedicated chilled packing station is used for 30-60% of chilled-SKU shifts.</t>
  </si>
  <si>
    <t xml:space="preserve">Productivity 100-120 units/person/hour, matching category benchmarks (net roll ~90/hr, pannet ~100/hr, LDP ~100/hr).
Gang output tracked daily against a 400-500 packets/person/day target.
Shift-level SLA is tracked for 60-90% of lines and mostly at benchmark (~900-1,200 units/person/shift by pack type).
Formed-box staging shelf standard is followed on 60-90% of lines.
60-90% of applicable vendors pack to FC standard.
A dedicated chilled packing station is used for 60-90% of chilled-SKU shifts.</t>
  </si>
  <si>
    <t xml:space="preserve">Productivity above 120 units/person/hour or consistently at the top of the category benchmark.
A 4-cutter + 6-packer gang achieving 4,000+ packets/day, tracked and improved monthly.
Shift-level SLA is tracked for over 90% of lines and consistently at or above benchmark.
Formed-box staging shelf standard is followed on all lines.
Over 90% of applicable vendors pack to FC standard with zero re-pack sub-process.
100% of chilled SKUs are packed at a dedicated chilled station, tracked and improved monthly.</t>
  </si>
  <si>
    <t>A4.3</t>
  </si>
  <si>
    <t>Manpower Planning for Processing</t>
  </si>
  <si>
    <t xml:space="preserve">No standard manpower norm for processing tables.
Occupancy varies randomly (under 2 or over 6 people per 8ft x 4ft table).
No defined ratio of S&amp;G tables to packaging tables - S&amp;G tables are frequently fewer than packing tables, bottlenecking downstream packaging input.
No cleaning step is enforced between vendors' S&amp;G batches, causing clutter and cross-contamination risk.</t>
  </si>
  <si>
    <t xml:space="preserve">Norm defined (4 people per 8ft x 4ft table) but followed on under 40% of tables.
An S&amp;G-to-packing table ratio is loosely followed for under 40% of shifts, with S&amp;G output frequently under-matched to packing input.
Inter-vendor cleaning is ad hoc.</t>
  </si>
  <si>
    <t xml:space="preserve">4-person-per-table norm followed on 40-70% of tables.
S&amp;G-to-packing table ratio is matched to keep S&amp;G output aligned with packing input on 40-70% of shifts.
Cleaning between vendors' S&amp;G batches is performed inconsistently.</t>
  </si>
  <si>
    <t xml:space="preserve">Norm followed on 70-95% of tables, monitored via regular floor walks.
S&amp;G-to-packing table ratio and output-input matching is maintained on 70-95% of shifts, monitored via floor walks.
Cleaning after each vendor's S&amp;G batch is standard practice.</t>
  </si>
  <si>
    <t xml:space="preserve">Norm followed on over 95% of tables at all times, with real-time floor supervision preventing congestion or under-utilization.
S&amp;G-to-packing table ratio and output-input matching is maintained on over 95% of shifts with real-time supervision.
Cleaning after every vendor's S&amp;G batch is enforced with zero cross-contamination incidents.</t>
  </si>
  <si>
    <t>A4.4</t>
  </si>
  <si>
    <t>Shrinkage &amp; Seasonal Loss Management</t>
  </si>
  <si>
    <t xml:space="preserve">Shrinkage not tracked by SKU category.
Overall loss exceeds 5% with no seasonal breakup.</t>
  </si>
  <si>
    <t xml:space="preserve">Shrinkage tracked in aggregate only.
No category-specific targets (e.g., leafy items vs vegetables like brinjal).</t>
  </si>
  <si>
    <t xml:space="preserve">Shrinkage tracked by category against benchmark ranges (up to 30-35% for leafy items, 1-2% for vegetables like brinjal).
Seasonal RTV loss tracked at a 1.5-3% band (winter to monsoon).</t>
  </si>
  <si>
    <t xml:space="preserve">Shrinkage within benchmark for over 80% of SKU categories.
Seasonal loss trend reviewed monthly with corrective action for outliers.</t>
  </si>
  <si>
    <t xml:space="preserve">Shrinkage consistently at or below benchmark for all categories.
Seasonal loss held at 1.5% or below even during monsoon.
Monthly root-cause review with documented reduction actions.</t>
  </si>
  <si>
    <t>A4.5</t>
  </si>
  <si>
    <t>Repacking Reduction Targets</t>
  </si>
  <si>
    <t xml:space="preserve">Repacking/re-stickering rate not measured.
Anecdotally exceeds 8% of units reworked.
Cause coding does not distinguish avoidable rework such as re-sorting already vendor-packed bananas at the packing stage, ripeness-based segregation (e.g., mango, avocado) being performed late at the packing stage instead of at S&amp;G, or idle organic-table capacity - all of which inflate the repack rate.</t>
  </si>
  <si>
    <t xml:space="preserve">Measured but no target set.
Rate at 5-8%.
Rate is measured in aggregate without cause coding for these specific drivers (banana re-sort, late ripeness segregation, idle organic-table capacity).</t>
  </si>
  <si>
    <t xml:space="preserve">Target set at 5% or below.
Actual performance running at 5-6%.
Cause coding identifies banana re-sort, late ripeness segregation, and idle organic-table time as contributors, but corrective action (stopping banana re-sort, moving ripeness segregation to the S&amp;G stage, converting the organic table to multi-use) is applied inconsistently.</t>
  </si>
  <si>
    <t xml:space="preserve">Actual rate 2-5%, tracked weekly with cause coding.
Banana re-sort at packing is eliminated, ripeness-based segregation is performed at the S&amp;G stage, and the organic table is run as a time-clustered multi-use table on 70-95% of shifts, reflected in the weekly cause-coded repack trend.</t>
  </si>
  <si>
    <t xml:space="preserve">Rate under 2%, tracked daily, root cause eliminated at source (labeling/QC), sustained for 2+ consecutive quarters.
Banana re-sort at packing is fully eliminated, ripeness-based segregation is performed at the S&amp;G stage on 100% of shifts, and the organic table is consistently run as a multi-use table in downtime, sustained for 2+ consecutive quarters as a root-cause-eliminated driver of the sub-2% repack rate.</t>
  </si>
  <si>
    <t>A4.6</t>
  </si>
  <si>
    <t>Packing Accuracy % (Units/Cases Packed Correctly)</t>
  </si>
  <si>
    <t>Packing accuracy (units/cases packed with the correct SKU, quantity, and label) is below 96%, not tracked distinctly from piece-level packing checks.</t>
  </si>
  <si>
    <t>Packing accuracy runs at 96-97%, tracked in aggregate only.</t>
  </si>
  <si>
    <t>Packing accuracy runs at 97-98%, tracked per packer/shift for the majority of lines.</t>
  </si>
  <si>
    <t>Packing accuracy runs at 98-99%, tracked per packer/shift and reviewed daily.</t>
  </si>
  <si>
    <t>Packing accuracy exceeds 99%, tracked per packer/shift in real time.</t>
  </si>
  <si>
    <t>A5</t>
  </si>
  <si>
    <t>Planning (Demand, Inventory, Capacity)</t>
  </si>
  <si>
    <t>A5.1</t>
  </si>
  <si>
    <t>Demand Planning</t>
  </si>
  <si>
    <t xml:space="preserve">0-1 of the 5 demand-planning layers (baseline/historical, seasonal &amp; festive, event-based/sales, time-of-day, area/hyperlocal behavior) in use.
Forecast accuracy under 60%.
Hourly-volatility and SKU-level inaccuracy are not analyzed, and new-store locations run on no meaningful demand data (pure guesswork).</t>
  </si>
  <si>
    <t xml:space="preserve">2 layers active.
Forecast accuracy 60-75%.
Hourly volatility and hyperlocal (area-level) variation are acknowledged but not modeled.
New stores use a flat citywide/category average with no ramp-up curve.</t>
  </si>
  <si>
    <t xml:space="preserve">3 layers active (e.g., baseline + seasonal/festive + event-based).
Forecast accuracy 75-85%.
Time-of-day demand curves are tracked for under 50% of SKUs/stores.
Hyperlocal (area-behavior) variation is factored in for high-volume stores only.
New stores follow a defined but generic ramp-up curve.</t>
  </si>
  <si>
    <t xml:space="preserve">4 of the 5 layers active (typically missing time-of-day or area-behavior).
Forecast accuracy 85-95%.
Time-of-day and hyperlocal demand patterns are modeled for 70-90% of stores.
SKU-level forecast error is tracked and root-caused monthly.
New-store data gaps are bridged with a comparable-store proxy model for the first 4-6 weeks.</t>
  </si>
  <si>
    <t xml:space="preserve">All 5 layers active and continuously calibrated against actuals (baseline, seasonal/festive, event-based, time-of-day, hyperlocal/area-behavior).
Forecast accuracy above 95%, directly driving the fill-rate KPI.
Hourly volatility and SKU-level accuracy are tracked in real time with automated recalibration.
New-store demand gaps are closed within 2-4 weeks via a proxy-to-actual transition model.</t>
  </si>
  <si>
    <t>A5.2</t>
  </si>
  <si>
    <t>Inventory Planning</t>
  </si>
  <si>
    <t xml:space="preserve">0-1 of the 5 inventory-planning components (regular+buffer stock, seasonal buffer of +15-20%, festive buffer of +50-100%, FEFO discipline for fresh/perishable SKUs, SKU assortment) defined.
Stockout/excess (waste) incidents affect over 20% of SKUs monthly.
Batch/expiry tracking is manual or absent, and shelf-life-driven markdowns/write-offs are not visible until after the fact.</t>
  </si>
  <si>
    <t xml:space="preserve">2 components defined.
Incidents affect 10-20% of SKUs monthly.
FEFO is followed inconsistently, with batch mismanagement (wrong batch picked/dispatched) as a regular occurrence.
Inventory visibility lags actual stock by more than a day.</t>
  </si>
  <si>
    <t xml:space="preserve">3 components defined (e.g., regular+buffer stock, one of seasonal/festive buffer, and a defined SKU assortment).
Incidents affect 5-10% of SKUs monthly.
FEFO is enforced for the majority of fresh SKUs.
Batch-level visibility exists but is not real-time, creating an occasional stockout-vs-waste trade-off at the shelf-life boundary.</t>
  </si>
  <si>
    <t xml:space="preserve">4 of the 5 components defined and reviewed monthly (seasonal +15-20% and festive +50-100% buffers both applied, FEFO enforced for fresh).
Incidents affect under 5% of SKUs monthly.
Batch/expiry data is visible near-real-time, keeping the stockout-vs-waste trade-off and batch mismanagement to isolated exceptions.</t>
  </si>
  <si>
    <t xml:space="preserve">All 5 components defined, automated, and reviewed weekly (regular+buffer stock, seasonal +15-20% buffer, festive +50-100% buffer, FEFO for fresh, SKU assortment).
Incidents affect under 2% of SKUs monthly.
Batch/expiry visibility is real-time and system-enforced, eliminating batch mismanagement and holding the stockout-vs-waste trade-off within a defined tolerance.</t>
  </si>
  <si>
    <t>A5.3</t>
  </si>
  <si>
    <t>Replenishment Planning</t>
  </si>
  <si>
    <t xml:space="preserve">Replenishment triggered manually and irregularly.
No defined formula (Forecast Demand + Safety Stock - Current Inventory) or wave structure.
No min-max or reorder-point model is defined, no emergency top-up process exists for stockout risk, and days-of-inventory (DoI) is not tracked.
Partial fulfillment, dock congestion at replenishment receipt, and storage overflow are common and unmanaged.</t>
  </si>
  <si>
    <t xml:space="preserve">Formula-based replenishment defined but run less than once a day.
Wave split ad hoc.
A min-max or reorder-point trigger is defined for under 30% of SKUs.
Emergency top-up is handled ad hoc with no defined SLA.
DoI is tracked in aggregate only.
Partial fulfillment and storage overflow incidents are frequent.</t>
  </si>
  <si>
    <t xml:space="preserve">Replenishment run once a day using the standard formula.
Wave timing not optimized.
Min-max/reorder-point triggers cover 30-60% of SKUs.
A defined but manually-invoked emergency top-up process exists.
DoI is tracked by category.
Dock congestion from replenishment receipts is reviewed but not systematically avoided.</t>
  </si>
  <si>
    <t xml:space="preserve">Replenishment run twice a day with a defined wave split (e.g., 70% first wave / 30% second wave).
Lead time and buffer capacity factored in.
Min-max/reorder-point triggers cover 60-90% of SKUs with an SLA-bound emergency top-up process.
DoI is tracked by SKU against a target band.
Dock-congestion and storage-overflow incidents from replenishment receipt are reduced to isolated exceptions.</t>
  </si>
  <si>
    <t xml:space="preserve">Fully automated twice-daily (or more frequent) replenishment cycle with an optimized wave split (e.g., 70/30), lead-time-adjusted safety stock, and under 2% stockout rate at dark stores.
Min-max/reorder-point triggers cover over 90% of SKUs, integrated with an automated, SLA-bound emergency top-up process (ARS).
DoI is tracked by SKU in real time against target bands.
Dock congestion and storage overflow from replenishment receipts are eliminated through slotted receiving.
Partial-fulfillment incidents are root-caused monthly.</t>
  </si>
  <si>
    <t>A5.4</t>
  </si>
  <si>
    <t>Manpower &amp; Capacity Planning</t>
  </si>
  <si>
    <t xml:space="preserve">0-2 of 6 roles (inbound, outbound/picking, packing, put-away, supervisory, security) have defined manpower planning.
Staffing variance exceeds 20%.
No surge-planning mechanism for demand spikes and no defined gig-workforce flexibility strategy.
Staffing decisions ignore diurnal (hour-of-day) demand variability, and attrition/gig-supply risk are not tracked.</t>
  </si>
  <si>
    <t xml:space="preserve">3 roles planned.
Staffing variance 15-20%.
Surge planning is reactive (arranged only after a spike is already underway).
Gig-workforce usage is ad hoc with no defined flex ratio.
Diurnal variability is acknowledged but not built into shift design.
Attrition is tracked but not analyzed.</t>
  </si>
  <si>
    <t xml:space="preserve">4 roles planned.
Variance 10-15%.
A surge-planning trigger and a defined gig-to-permanent flex ratio exist for under 60% of shifts.
Shift design accounts for diurnal variability for the main peak window only.
Attrition and gig-supply risk are tracked monthly without a mitigation plan.</t>
  </si>
  <si>
    <t xml:space="preserve">5 roles planned with shift-level granularity.
Variance 5-10%.
Surge planning and a defined gig-flex ratio are applied on 60-90% of shifts, with shift design built around the full diurnal demand curve.
Attrition and gig-supply risk are tracked with an active mitigation/backup-pool plan.</t>
  </si>
  <si>
    <t xml:space="preserve">All 6 roles planned with daily granularity and capacity buffers.
Variance under 5%.
Surge planning and gig-flex ratio are applied on over 90% of shifts with capacity buffers pre-built into the roster.
Shift design is fully diurnal-curve-driven.
Attrition is held below a defined benchmark and gig-supply risk is mitigated via a pre-qualified backup pool, reviewed monthly.</t>
  </si>
  <si>
    <t>A5.5</t>
  </si>
  <si>
    <t>Network Planning</t>
  </si>
  <si>
    <t xml:space="preserve">Fewer than 1 planned warehouse-to-dark-store replenishment cycle per day.
Dispatch is ad hoc.
No route optimization or truck-load optimization is applied (vehicles dispatched part-full or on unoptimized routes).
No formal pick-path design exists, causing inefficient in-warehouse travel.
Freezer/cold-chain capacity limits are not factored into network planning.
Inbound to not-yet-live (pre-live) dark stores is unplanned and causes downstream issues.</t>
  </si>
  <si>
    <t xml:space="preserve">1 cycle per day.
Wave split not defined.
Route/truck-load optimization is applied to under 30% of dispatch routes.
Pick-path design is undefined, with operators walking ad hoc.
Freezer-capacity constraints are identified only after a breach.
Pre-live-store inward is handled the same as live-store inward with no distinction.</t>
  </si>
  <si>
    <t xml:space="preserve">1-2 cycles per day with a defined split (approximately 70/30), but adherence under 70%.
Route/truck-load optimization covers 30-60% of dispatch routes.
A basic pick-path layout exists but is not distance-optimized.
Freezer/cold-chain capacity is checked before dispatch for temperature-sensitive SKUs only.
Pre-live dark-store inward follows a separate but informal process.</t>
  </si>
  <si>
    <t xml:space="preserve">2 cycles per day with a 70/30 (or optimized) split.
Adherence 70-90%.
Route/truck-load optimization covers 60-90% of dispatch routes, holding OPH (orders-per-hour) close to target.
Pick-path design is distance-optimized and reviewed periodically.
Freezer/cold-chain capacity is planned ahead of dispatch across all temperature zones.
Pre-live dark-store inward follows a defined, separate SOP.</t>
  </si>
  <si>
    <t xml:space="preserve">2 or more cycles per day, wave-split adherence above 90%, dynamically adjusted to dark-store stock positions in real time.
Route/truck-load optimization covers over 90% of dispatch routes with OPH consistently at or above target.
Pick-path design is continuously optimized using movement data.
Freezer/cold-chain capacity is dynamically planned with zero temperature-zone breaches.
Pre-live dark-store inward is fully governed by a dedicated SOP with zero cross-over incidents into live operations.</t>
  </si>
  <si>
    <t>A5.6</t>
  </si>
  <si>
    <t>Planning Cycle &amp; Fill Rate Monitoring</t>
  </si>
  <si>
    <t xml:space="preserve">Fill rate under 70%.
No defined D-minus planning day.</t>
  </si>
  <si>
    <t xml:space="preserve">Fill rate 70-80%.
D-minus planning cycle used inconsistently.</t>
  </si>
  <si>
    <t xml:space="preserve">Fill rate 80-90%.
D-minus planning day formally defined and followed for FnV/dry categories.</t>
  </si>
  <si>
    <t xml:space="preserve">Fill rate 90-95%.
D-minus cycle followed consistently, with variance root-caused monthly.</t>
  </si>
  <si>
    <t>Fill rate above 95% (benchmark), D-minus planning followed on 100% of days, over/under-planning variance under 5%.</t>
  </si>
  <si>
    <t>A5.7</t>
  </si>
  <si>
    <t>Supplier Planning &amp; Risk Management</t>
  </si>
  <si>
    <t xml:space="preserve">Supplier performance (quality variability, lead-time risk, price volatility, OTIF - on-time-in-full) is not tracked in any structured way.
Sourcing decisions are made without visibility into any of these four dimensions.
OTIF is neither defined nor measured.</t>
  </si>
  <si>
    <t xml:space="preserve">One of the four dimensions (typically OTIF or price) is tracked in aggregate, with no vendor-level or SKU-level breakdown.
Quality variability and lead-time risk are known anecdotally but not measured.</t>
  </si>
  <si>
    <t xml:space="preserve">2-3 of the four dimensions are tracked by vendor (e.g., OTIF % and lead-time variance), reviewed periodically (e.g., quarterly), but not yet linked to sourcing/allocation decisions.
Price volatility is monitored but not hedged or contracted against.</t>
  </si>
  <si>
    <t xml:space="preserve">All four dimensions (quality variability, lead-time risk, price volatility, OTIF) are tracked by vendor and reviewed monthly, feeding a basic supplier scorecard.
Sourcing allocation is adjusted for chronic OTIF/quality underperformers.
Price volatility is partially managed via defined contracting/hedging for key SKUs.</t>
  </si>
  <si>
    <t xml:space="preserve">All four dimensions are tracked by vendor and SKU in real time via an automated supplier scorecard, directly driving sourcing/allocation decisions and vendor tiering.
OTIF is held above a defined benchmark (e.g., 95%+).
Price volatility is actively hedged/contracted for the majority of high-value categories, with quarterly vendor business reviews closing the loop on quality and lead-time risk.</t>
  </si>
  <si>
    <t>A5.8</t>
  </si>
  <si>
    <t>Indent Accuracy (Order Projection vs. Actual)</t>
  </si>
  <si>
    <t>Indent is not reconciled against actual inward/dispatch at all, or the variance exceeds 30% where checked.</t>
  </si>
  <si>
    <t>Indent-vs-actual variance runs at 20-30%, reconciled only in aggregate.</t>
  </si>
  <si>
    <t>Indent-vs-actual variance runs at 10-20%, reconciled daily for the majority of SKUs/stores.</t>
  </si>
  <si>
    <t>Indent-vs-actual variance runs at 5-10%, reconciled daily with root cause reviewed monthly.</t>
  </si>
  <si>
    <t>Indent-vs-actual variance is held under 5%, reconciled in real time and reported as a standing indent-accuracy KPI alongside forecast accuracy.</t>
  </si>
  <si>
    <t>A5.9</t>
  </si>
  <si>
    <t>Inventory Rotation FIFO Compliance %</t>
  </si>
  <si>
    <t>FIFO compliance for inventory rotation (distinct from the dock-sequencing FIFO in A1.4) runs under 50%, with picking/putaway routinely bypassing the oldest-stock-first rule.</t>
  </si>
  <si>
    <t>FIFO compliance runs at 50-70%, followed inconsistently across zones.</t>
  </si>
  <si>
    <t>FIFO compliance runs at 70-85%, enforced for the majority of zones but not system-validated.</t>
  </si>
  <si>
    <t>FIFO compliance runs at 85-95%, system-guided for putaway and picking across most zones.</t>
  </si>
  <si>
    <t>FIFO compliance exceeds 95%, system-enforced at putaway and picking with exceptions flagged automatically.</t>
  </si>
  <si>
    <t>A5.10</t>
  </si>
  <si>
    <t>Inventory Accuracy % (System vs. Physical)</t>
  </si>
  <si>
    <t>Inventory accuracy (system vs. physical stock) runs under 90%, with no regular cycle-count process.</t>
  </si>
  <si>
    <t>Inventory accuracy runs at 90-95%, checked via periodic/ad hoc cycle counts.</t>
  </si>
  <si>
    <t>Inventory accuracy runs at 95-98%, checked via periodic cycle counts on a defined schedule.</t>
  </si>
  <si>
    <t>Inventory accuracy runs at 98-99.5%, checked via weekly cycle counts with variance root-caused.</t>
  </si>
  <si>
    <t>Inventory accuracy exceeds 99.5%, maintained via continuous/perpetual cycle counting with real-time variance alerts.</t>
  </si>
  <si>
    <t>A5.11</t>
  </si>
  <si>
    <t>Expiry Loss % (Expired Value vs. Sales)</t>
  </si>
  <si>
    <t>Expiry loss exceeds 3% of inventory value/sales, not reconciled against FEFO compliance.</t>
  </si>
  <si>
    <t>Expiry loss runs at 2-3%.</t>
  </si>
  <si>
    <t>Expiry loss runs at 1-2%, tracked monthly but not yet linked to FEFO compliance.</t>
  </si>
  <si>
    <t>Expiry loss runs at 0.5-1%, reviewed monthly against FEFO compliance to close the loop.</t>
  </si>
  <si>
    <t>Expiry loss is held under 0.5%, tracked in real time and directly reconciled against FEFO/FIFO compliance.</t>
  </si>
  <si>
    <t>A5.12</t>
  </si>
  <si>
    <t>Labor Productivity - UPMH (Units per Manhour) vs. Target</t>
  </si>
  <si>
    <t>UPMH runs below 70% of the defined facility target, or no target is set at all.</t>
  </si>
  <si>
    <t>UPMH runs at 70-85% of target.</t>
  </si>
  <si>
    <t>UPMH runs at 85-95% of target, tracked weekly by function.</t>
  </si>
  <si>
    <t>UPMH runs at 95-105% of target, tracked weekly by function against defined targets.</t>
  </si>
  <si>
    <t>UPMH consistently runs at or above 105% of target, tracked weekly with continuous improvement.</t>
  </si>
  <si>
    <t>A5.13</t>
  </si>
  <si>
    <t>Labor Productivity - Orders per Manhour vs. Target</t>
  </si>
  <si>
    <t>Orders-per-manhour runs below 70% of the defined facility target, or no target is set at all.</t>
  </si>
  <si>
    <t>Orders-per-manhour runs at 70-85% of target.</t>
  </si>
  <si>
    <t>Orders-per-manhour runs at 85-95% of target, tracked weekly by function.</t>
  </si>
  <si>
    <t>Orders-per-manhour runs at 95-105% of target, tracked weekly against defined targets.</t>
  </si>
  <si>
    <t>Orders-per-manhour consistently runs at or above 105% of target, tracked weekly with continuous improvement.</t>
  </si>
  <si>
    <t>A5.14</t>
  </si>
  <si>
    <t>Labor Utilization %</t>
  </si>
  <si>
    <t>Labor utilization (productive hours) runs under 60%.</t>
  </si>
  <si>
    <t>Labor utilization runs at 60-70%.</t>
  </si>
  <si>
    <t>Labor utilization runs at 70-80%, tracked weekly by function.</t>
  </si>
  <si>
    <t>Labor utilization runs at 80-90%, tracked weekly against defined targets.</t>
  </si>
  <si>
    <t>Labor utilization exceeds 90%, tracked weekly with continuous improvement.</t>
  </si>
  <si>
    <t>A5.15</t>
  </si>
  <si>
    <t>Absenteeism %</t>
  </si>
  <si>
    <t>Absenteeism exceeds 10%, not linked to staffing-variance root cause.</t>
  </si>
  <si>
    <t>Absenteeism runs at 7-10%, tracked but not analyzed.</t>
  </si>
  <si>
    <t>Absenteeism runs at 5-7%, tracked daily and reviewed as one driver of staffing variance.</t>
  </si>
  <si>
    <t>Absenteeism runs at 3-5%, tracked daily with a defined threshold and reviewed alongside attrition.</t>
  </si>
  <si>
    <t>Absenteeism is held under 3%, tracked daily and reviewed jointly with attrition and gig-supply risk as the standing staffing-variance root-cause set.</t>
  </si>
  <si>
    <t>A5.16</t>
  </si>
  <si>
    <t>Inward Accuracy (Actual Arrived Qty vs. Indent)</t>
  </si>
  <si>
    <t>Inward quantity deviates from Indent by more than 25%, with no reconciled tracking.</t>
  </si>
  <si>
    <t>Inward deviates from Indent by 15-25%, tracked in aggregate only.</t>
  </si>
  <si>
    <t>Inward deviates from Indent by 10-15%, reconciled daily for FnV/dry categories.</t>
  </si>
  <si>
    <t>Inward deviates from Indent by 5-10%, reconciled daily with variance root-caused monthly.</t>
  </si>
  <si>
    <t>Inward deviates from Indent by under 5%, reconciled in real time as part of the daily planning-cycle KPI set.</t>
  </si>
  <si>
    <t>A5.17</t>
  </si>
  <si>
    <t>Dispatched Accuracy (Actual Dispatched Qty vs. Plan)</t>
  </si>
  <si>
    <t>Dispatched quantity deviates from the plan by more than 25%, with no reconciled tracking.</t>
  </si>
  <si>
    <t>Dispatched deviates from plan by 15-25%, tracked in aggregate only.</t>
  </si>
  <si>
    <t>Dispatched deviates from plan by 10-15%, reconciled daily for FnV/dry categories.</t>
  </si>
  <si>
    <t>Dispatched deviates from plan by 5-10%, reconciled daily with variance root-caused monthly.</t>
  </si>
  <si>
    <t>Dispatched deviates from plan by under 5%, reconciled in real time alongside fill rate as part of the daily planning-cycle KPI set.</t>
  </si>
  <si>
    <t>A6</t>
  </si>
  <si>
    <t>Facility &amp; Warehouse Design</t>
  </si>
  <si>
    <t>A6.1</t>
  </si>
  <si>
    <t>Facility Sizing &amp; Throughput Planning</t>
  </si>
  <si>
    <t>Facility throughput under 60% of category benchmark (below 2.4 units/sq ft for FnV, or below 13.5-15 units/sq ft for dry storage).</t>
  </si>
  <si>
    <t>Throughput at 60-75% of benchmark.</t>
  </si>
  <si>
    <t>Throughput at 75-90% of benchmark (approximately 3-3.6 units/sq ft FnV, 17-20 units/sq ft dry).</t>
  </si>
  <si>
    <t xml:space="preserve">Throughput at 90-100% of benchmark (4 units/sq ft FnV, 22.5-25 units/sq ft dry).
Outbound dispatch capacity validated at approximately 4x warehouse area.</t>
  </si>
  <si>
    <t xml:space="preserve">Throughput consistently at or above benchmark.
Dispatch capacity engineered and validated at exactly 4x warehouse area (e.g., a 50,000 sq ft facility supporting 200,000-unit dispatch capacity), reviewed quarterly.</t>
  </si>
  <si>
    <t>A6.2</t>
  </si>
  <si>
    <t>Warehouse Layout Design</t>
  </si>
  <si>
    <t xml:space="preserve">Layout not benchmarked against SPR/MTR design standards.
Storage-area ratio undefined or deviates over 70% from the 50-60% norm.</t>
  </si>
  <si>
    <t xml:space="preserve">Partial benchmarking.
Storage ratio in the 60-70% band (too high, indicating processing-area shortfall) or below 40%.</t>
  </si>
  <si>
    <t xml:space="preserve">Storage area at 50-60% of total footprint per design norm.
Aisle widths (~10 ft) and beam lengths (~2.4m) mostly conform to standard.</t>
  </si>
  <si>
    <t xml:space="preserve">Full conformance to SPR/MTR specifications (aisle width, 100mm overhang, 3-4 ft sprinkler clearance) with storage ratio at 50-55%, or up to 60% for high-inventory/smaller-city sites.
Density near 22.5 units/sq ft.</t>
  </si>
  <si>
    <t>Layout fully optimized, including narrow-aisle configurations where applicable, at 22.5 units/sq ft density with 100% spec conformance and storage ratio precisely tuned to inventory-days requirement.</t>
  </si>
  <si>
    <t>A6.3</t>
  </si>
  <si>
    <t>Cost per Unit Tracking</t>
  </si>
  <si>
    <t xml:space="preserve">0-2 of the 6 cost components (manpower, material supply, packaging, electricity, depreciation, rent) tracked.
No periodic review.</t>
  </si>
  <si>
    <t xml:space="preserve">3 components tracked.
Reviewed annually.</t>
  </si>
  <si>
    <t xml:space="preserve">4 components tracked.
Reviewed quarterly.</t>
  </si>
  <si>
    <t xml:space="preserve">5 components tracked.
Reviewed monthly, feeding into cost-per-unit optimization actions.</t>
  </si>
  <si>
    <t>All 6 components tracked, reviewed monthly or more frequently, with a documented cost-per-unit trend showing continuous reduction.</t>
  </si>
  <si>
    <t>A6.4</t>
  </si>
  <si>
    <t>Project Planning &amp; Governance (Charter, Timeline, Cost Control)</t>
  </si>
  <si>
    <t xml:space="preserve">No formal project charter, scope definition, or Gantt chart is used for planning/execution.
Timelines and budgets are not documented.
Delivery is tracked informally, with over 50% of projects (of any type - warehouse design/expansion, systems rollout, process change, etc.) running behind schedule or over budget with no visibility into the cause.</t>
  </si>
  <si>
    <t xml:space="preserve">A basic project charter (scope/objective) is drafted for under 40% of projects.
No Gantt chart or formal milestone timeline is maintained.
Schedule or cost overrun exceeds 30% on the majority of tracked projects.</t>
  </si>
  <si>
    <t xml:space="preserve">A project charter (scope, objective, stakeholders, budget) and a Gantt chart with defined milestones are used for 40-70% of projects.
Milestone/timeline adherence is reviewed periodically (e.g., monthly), but cost tracking against budget is inconsistent.
Schedule or cost overrun is in the 15-30% band.</t>
  </si>
  <si>
    <t xml:space="preserve">A project charter and Gantt chart with milestone-level timelines are mandatory and used for 70-95% of projects.
Progress and cost are reviewed on a defined cadence (e.g., weekly) against the charter baseline.
Schedule/cost overrun held under 15%, with variances root-caused.</t>
  </si>
  <si>
    <t xml:space="preserve">Over 95% of projects (irrespective of type) are governed by a formal charter and Gantt chart with baselined milestones, tracked in real time against a defined ownership/RACI matrix.
Over 90% of projects are delivered on time and within the approved budget (schedule/cost overrun under 5%), with lessons-learned closed out post-project.</t>
  </si>
  <si>
    <t>A6.5</t>
  </si>
  <si>
    <t>Warehouse Cost per Order</t>
  </si>
  <si>
    <t>Cost per order runs more than 20% over the approved budget/benchmark, with no cost-per-order view tracked alongside cost-per-unit.</t>
  </si>
  <si>
    <t>Cost per order runs 10-20% over budget/benchmark.</t>
  </si>
  <si>
    <t>Cost per order runs within 10% of budget/benchmark, tracked quarterly alongside cost-per-unit.</t>
  </si>
  <si>
    <t>Cost per order runs at or below budget/benchmark, tracked monthly alongside cost-per-unit.</t>
  </si>
  <si>
    <t>Cost per order runs consistently below budget/benchmark with a documented downward trend, tracked monthly or more frequently.</t>
  </si>
  <si>
    <t>A6.6</t>
  </si>
  <si>
    <t>Utility Cost per Sqft</t>
  </si>
  <si>
    <t>Utility cost per sqft runs more than 20% over the approved budget/benchmark, with no per-sqft normalization tracked.</t>
  </si>
  <si>
    <t>Utility cost per sqft runs 10-20% over budget/benchmark.</t>
  </si>
  <si>
    <t>Utility cost per sqft runs within 10% of budget/benchmark, tracked quarterly.</t>
  </si>
  <si>
    <t>Utility cost per sqft runs at or below budget/benchmark, tracked monthly.</t>
  </si>
  <si>
    <t>Utility cost per sqft runs consistently below budget/benchmark with a documented downward trend, tracked monthly or more frequently.</t>
  </si>
  <si>
    <t>A6.7</t>
  </si>
  <si>
    <t>Shrinkage Cost % (Loss Value vs. Sales)</t>
  </si>
  <si>
    <t>Shrinkage cost exceeds 2% of sales, not reconciled with the volume-based shrinkage metric (A4.4).</t>
  </si>
  <si>
    <t>Shrinkage cost runs at 1.5-2% of sales.</t>
  </si>
  <si>
    <t>Shrinkage cost runs at 1-1.5% of sales, tracked quarterly.</t>
  </si>
  <si>
    <t>Shrinkage cost runs at 0.5-1% of sales, tracked monthly and reconciled against the volume-based shrinkage metric.</t>
  </si>
  <si>
    <t>Shrinkage cost is held under 0.5% of sales, tracked monthly or more frequently with a documented downward trend.</t>
  </si>
  <si>
    <t>A7</t>
  </si>
  <si>
    <t>Collection Center Operations (FnV)</t>
  </si>
  <si>
    <t>A7.1</t>
  </si>
  <si>
    <t>Collection Center Setup &amp; Purpose</t>
  </si>
  <si>
    <t xml:space="preserve">0% of inbound FnV volume routed through a collection center.
All sourcing goes direct to the main warehouse.</t>
  </si>
  <si>
    <t>Under 20% of volume routed via a collection center.</t>
  </si>
  <si>
    <t>20-50% of volume via a collection center, reducing first-mile disruption.</t>
  </si>
  <si>
    <t>50-80% of volume via a collection center, with a defined sorting/grading/packing split.</t>
  </si>
  <si>
    <t xml:space="preserve">Over 80% of volume via a collection center.
A fully optimized first-mile network measurably reducing cost-per-unit quarter-on-quarter.</t>
  </si>
  <si>
    <t>A7.2</t>
  </si>
  <si>
    <t>Collection Center Timing &amp; Dispatch Cutoffs</t>
  </si>
  <si>
    <t xml:space="preserve">Under 50% of collection-center dispatches meet the 3:00 PM cutoff.
Frequent arrivals past 9:00 PM.</t>
  </si>
  <si>
    <t>50-70% adherence to the 3:00 PM dispatch / 9:00 PM arrival cutoffs.</t>
  </si>
  <si>
    <t xml:space="preserve">70-85% adherence.
Material typically arrives by 8-9 PM, packing completed by 11:30 PM.</t>
  </si>
  <si>
    <t xml:space="preserve">85-95% adherence.
Arrival consistently by 7-8 PM, enabling processing completion by 12:00 AM and FnV dispatch by 1:00 PM.</t>
  </si>
  <si>
    <t>Over 95% adherence to the full cutoff chain (3 PM dispatch, 7-8 PM arrival, 12 AM processing complete, 1 PM FnV dispatch), tracked daily on an SLA dashboard.</t>
  </si>
  <si>
    <t>A7.3</t>
  </si>
  <si>
    <t>Collection Center Processing Split</t>
  </si>
  <si>
    <t xml:space="preserve">No defined processing split between collection center and warehouse.
Allocation decided ad hoc daily.</t>
  </si>
  <si>
    <t>Split defined loosely (e.g., partial processing at collection center) but not documented as a fixed percentage.</t>
  </si>
  <si>
    <t>Split formally defined as a fixed percentage (e.g., 70% at collection center / 30% at warehouse) and followed on over 70% of days.</t>
  </si>
  <si>
    <t>Defined split followed on over 90% of days, reviewed monthly against volume and cost-per-unit impact.</t>
  </si>
  <si>
    <t>Split optimized and reviewed quarterly, followed on over 95% of days, with a documented cost/productivity rationale for the chosen ratio.</t>
  </si>
  <si>
    <t>A7.4</t>
  </si>
  <si>
    <t>Unloading Productivity Norms</t>
  </si>
  <si>
    <t xml:space="preserve">Unloading productivity not benchmarked by load type (packed vs bulk).
No target set.</t>
  </si>
  <si>
    <t xml:space="preserve">Productivity tracked in aggregate only, below benchmark (under 400 units/person/hour packed.
Under 4 pallets/person/hour bulk).</t>
  </si>
  <si>
    <t>Productivity at benchmark for one load type only: 500 units/person/hour for packed material, or 5 pallets (125 crates)/person/hour for bulk - not both.</t>
  </si>
  <si>
    <t xml:space="preserve">Productivity at benchmark for both load types (500 units/person/hour packed.
5 pallets or 125 crates/person/hour bulk), tracked daily.</t>
  </si>
  <si>
    <t>Productivity consistently at or above benchmark for both load types, tracked in real time, with variance-driven staffing adjustments.</t>
  </si>
  <si>
    <t>A8</t>
  </si>
  <si>
    <t>Outbound / Staging &amp; Dispatch Operations</t>
  </si>
  <si>
    <t>A8.1</t>
  </si>
  <si>
    <t>Staging &amp; Holding Zone Management</t>
  </si>
  <si>
    <t xml:space="preserve">No defined/target SLA for picking and allocation (benchmark: ~600 units/person/hour).
No defined physical staging zones, leading to congestion.
Allocation and holding material share the same physical zone with no clear demarcation.
No structured stacking/arrangement method for crates.
No defined dump/reject area within the staging zone.</t>
  </si>
  <si>
    <t xml:space="preserve">Picking SLA is tracked for under 30% of shifts against the ~600 units/person/hour benchmark.
Wave Staging, Holding, and Reject/Dump zones are informally identified but frequently overlap.
Crate stacking in staging has no defined method.
A dump/reject corner exists but has no clearance routine.</t>
  </si>
  <si>
    <t xml:space="preserve">Picking SLA is tracked for 30-60% of shifts.
Wave Staging, Holding, and Reject/Dump zones are marked with reduced but still occasional overlap.
A dump/reject corner has a clearance routine that is followed inconsistently.
A maximum days-of-holding (DoH) target for held material is defined but not consistently tracked.</t>
  </si>
  <si>
    <t xml:space="preserve">Picking SLA is tracked for 60-90% of shifts and mostly at benchmark.
Wave Staging, Holding, and Reject/Dump zones are distinctly marked with no overlap on 70-95% of days.
The dump/reject corner follows a timed clearance SOP.
DoH SLA for holding material is tracked and mostly met.</t>
  </si>
  <si>
    <t xml:space="preserve">Picking SLA is tracked for over 90% of shifts and consistently meets/exceeds the ~600 units/person/hour benchmark.
Wave Staging, Holding, and Reject/Dump zones are distinctly marked with zero overlap.
The dump/reject corner's timed clearance SOP is followed with zero aged-waste incidents.
DoH SLA for holding material is met on over 95% of days, reviewed as part of routine floor governance.</t>
  </si>
  <si>
    <t>A8.2</t>
  </si>
  <si>
    <t>Dispatch &amp; Loading Operations</t>
  </si>
  <si>
    <t xml:space="preserve">No defined SLA for dispatch/loading.
System allocation and physical allocation happen independently and out of sync, resulting in inventory mismatches at receiving hubs.</t>
  </si>
  <si>
    <t xml:space="preserve">A loading SLA is defined (benchmark: ~2,500 units/person/hour) but tracked for under 30% of dispatches.
System and physical allocation are reconciled only after the fact, with inventory mismatches at hubs still common.</t>
  </si>
  <si>
    <t xml:space="preserve">Loading SLA is tracked for 30-60% of dispatches against the ~2,500 units/person/hour benchmark.
Scanner-based allocation is used for some dispatches, but system and physical completion are not always simultaneous, leaving residual hub-level mismatches.</t>
  </si>
  <si>
    <t xml:space="preserve">Loading SLA is tracked for 60-90% of dispatches and mostly at benchmark.
Scanner-based allocation with simultaneous system and physical completion is standard for the majority of dispatches, reducing hub-level inventory mismatches to occasional exceptions.</t>
  </si>
  <si>
    <t xml:space="preserve">Loading SLA is tracked for over 90% of dispatches and consistently meets/exceeds the ~2,500 units/person/hour benchmark.
100% of allocations are scanner-based with simultaneous system and physical completion, eliminating hub-level inventory mismatches.
Evaluated as a standing criterion in every facility diagnostic, not a one-off, site-specific observation.</t>
  </si>
  <si>
    <t>A8.3</t>
  </si>
  <si>
    <t>Picking Accuracy %</t>
  </si>
  <si>
    <t>Picking accuracy runs under 95%.</t>
  </si>
  <si>
    <t>Picking accuracy runs at 95-97%.</t>
  </si>
  <si>
    <t>Picking accuracy runs at 97-98.5%, tracked per shift alongside the picking SLA.</t>
  </si>
  <si>
    <t>Picking accuracy runs at 98.5-99.5%, with incidents root-caused weekly.</t>
  </si>
  <si>
    <t>Picking accuracy exceeds 99.5%, tracked per picker in real time and root-caused daily.</t>
  </si>
  <si>
    <t>A8.4</t>
  </si>
  <si>
    <t>Short Pick % (SKU Unavailable During Picking)</t>
  </si>
  <si>
    <t>Short-pick % exceeds 10%.</t>
  </si>
  <si>
    <t>Short-pick % runs at 5-10%.</t>
  </si>
  <si>
    <t>Short-pick % runs at 2-5%, tracked per shift.</t>
  </si>
  <si>
    <t>Short-pick % runs at 1-2%, root-caused weekly.</t>
  </si>
  <si>
    <t>Short-pick % is held under 1%, tracked per picker in real time and root-caused daily, feeding into inventory-accuracy and slotting decisions.</t>
  </si>
  <si>
    <t>A8.5</t>
  </si>
  <si>
    <t>Not Found % (Picker Unable to Locate SKU)</t>
  </si>
  <si>
    <t>Not-found % exceeds 5%.</t>
  </si>
  <si>
    <t>Not-found % runs at 2-5%.</t>
  </si>
  <si>
    <t>Not-found % runs at 1-2%, tracked per shift.</t>
  </si>
  <si>
    <t>Not-found % runs at 0.5-1%, root-caused weekly.</t>
  </si>
  <si>
    <t>Not-found % is held under 0.5%, tracked per picker in real time and root-caused daily, feeding into inventory-accuracy and slotting decisions.</t>
  </si>
  <si>
    <t>A8.6</t>
  </si>
  <si>
    <t>STN Ready Time (Created to Ready)</t>
  </si>
  <si>
    <t>STN Ready Time exceeds 60 minutes.</t>
  </si>
  <si>
    <t>STN Ready Time runs at 40-60 minutes.</t>
  </si>
  <si>
    <t>STN Ready Time runs at 25-40 minutes.</t>
  </si>
  <si>
    <t>STN Ready Time runs at 10-25 minutes, tracked with rider/route-level breakdown.</t>
  </si>
  <si>
    <t>STN Ready Time is held under 10 minutes, tracked in real time.</t>
  </si>
  <si>
    <t>A8.7</t>
  </si>
  <si>
    <t>Handover TAT (Packed to Rider Handover)</t>
  </si>
  <si>
    <t>Handover TAT exceeds 45 minutes.</t>
  </si>
  <si>
    <t>Handover TAT runs at 30-45 minutes.</t>
  </si>
  <si>
    <t>Handover TAT runs at 20-30 minutes.</t>
  </si>
  <si>
    <t>Handover TAT runs at 10-20 minutes, tracked with rider/route-level breakdown.</t>
  </si>
  <si>
    <t>Handover TAT is held under 10 minutes, tracked in real time.</t>
  </si>
  <si>
    <t>A8.8</t>
  </si>
  <si>
    <t>Outbound Vehicle Wait Time (Arrival to Exit)</t>
  </si>
  <si>
    <t>Outbound Vehicle Wait Time exceeds 60 minutes.</t>
  </si>
  <si>
    <t>Outbound Vehicle Wait Time runs at 40-60 minutes.</t>
  </si>
  <si>
    <t>Outbound Vehicle Wait Time runs at 25-40 minutes.</t>
  </si>
  <si>
    <t>Outbound Vehicle Wait Time runs at 15-25 minutes, tracked with route-level breakdown.</t>
  </si>
  <si>
    <t>Outbound Vehicle Wait Time is held under 15 minutes, tracked in real time.</t>
  </si>
  <si>
    <t>A8.9</t>
  </si>
  <si>
    <t>Dispatch SLA % (Orders Dispatched On Time)</t>
  </si>
  <si>
    <t>Dispatch SLA runs under 70%.</t>
  </si>
  <si>
    <t>Dispatch SLA runs at 70-80%.</t>
  </si>
  <si>
    <t>Dispatch SLA runs at 80-90%.</t>
  </si>
  <si>
    <t>Dispatch SLA runs at 90-98%, tracked with rider/route-level breakdown.</t>
  </si>
  <si>
    <t>Dispatch SLA exceeds 98%, tracked in real time across the pack-to-dispatch-to-handover chain.</t>
  </si>
  <si>
    <t>target_level</t>
  </si>
  <si>
    <t>target_level_name</t>
  </si>
  <si>
    <t>recommended_tasks</t>
  </si>
  <si>
    <t>Basic</t>
  </si>
  <si>
    <t>Introduce a basic slot-booking mechanism (even a phone/WhatsApp register) so vendors commit to an arrival window, and start flagging peak-hour bunching so the problem is visible.</t>
  </si>
  <si>
    <t>Standardized</t>
  </si>
  <si>
    <t xml:space="preserve">Deploy a digital appointment scheduler with defined slot windows.
 Mark and start enforcing a driver holding area away from the gate.
 Begin manually logging dock-in time.</t>
  </si>
  <si>
    <t>Managed</t>
  </si>
  <si>
    <t xml:space="preserve">Enforce system-generated slot windows with daily adherence tracking.
 Formalize and signpost the holding area.
 Start using dock-in time as the official SLA start-point for GRN TAT.
 Roll out QR/Booking-ID confirmations to the majority of vendors.</t>
  </si>
  <si>
    <t>Best-in-class</t>
  </si>
  <si>
    <t xml:space="preserve">Automate vendor slot notifications and load-spread balancing across shift hours.
 Give the holding area real-time occupancy visibility.
 Make dock-in time system-captured with automated GRN-TAT breach alerts.
 Push QR/Booking-ID scanning above 90% of vendors with zero manual slot entries.</t>
  </si>
  <si>
    <t xml:space="preserve">Introduce a single documentation checklist (vendor, invoice, indent qty) applied before unloading, even generic across vendor/courier.
 Start logging driver-ID and vehicle-number at the gate.</t>
  </si>
  <si>
    <t xml:space="preserve">Split the checklist by vehicle type (vendor vs. courier).
 Check driver-ID/vehicle-number against the slot for a defined share of vehicles.
 Start temperature checks scoped specifically to 4°C SKUs (mushrooms etc.).</t>
  </si>
  <si>
    <t xml:space="preserve">Introduce barcode/OCR-assisted matching to raise pre-unload verification coverage.
 Apply the &gt;3°C-deviation temp-reject rule consistently for 4°C SKUs.
 Push driver-ID/vehicle authentication to the majority of vehicles.
 Log 100% of reefer vehicle temperatures.</t>
  </si>
  <si>
    <t xml:space="preserve">Fully digitize gate verification end-to-end with an automated exception-flagging audit trail.
 Extend driver-ID/vehicle authentication and the temp-reject rule to over 90% of vehicles with zero exceptions.</t>
  </si>
  <si>
    <t xml:space="preserve">Start rolling out biometric/facial-recognition coverage at main shift changeovers.
 Begin ad hoc zone-wise entry counts for at least the highest-risk zones (S&amp;G, packing).</t>
  </si>
  <si>
    <t xml:space="preserve">Extend facial-recognition coverage to the main changeover shifts.
 Define a warehouse-sizing-based headcount norm per zone and track actuals against it periodically.</t>
  </si>
  <si>
    <t xml:space="preserve">Extend biometric coverage to all shifts and gates.
 Integrate zone-wise entry capture with the attendance system and reconcile daily against the sizing-based plan.</t>
  </si>
  <si>
    <t xml:space="preserve">Push to 100% biometric plus physical-check coverage across all shifts/gates.
 Move zone-wise capture to real time with automated variance alerts against the sizing-based headcount plan.</t>
  </si>
  <si>
    <t>Number the docks consistently and start using a manual dock-allocation sheet instead of ad hoc assignment.</t>
  </si>
  <si>
    <t>Define dock allocation rules by vehicle size and start enforcing FIFO sequencing at the dock.</t>
  </si>
  <si>
    <t xml:space="preserve">Move to system-based dock scheduling with size-matched allocation.
 Push FIFO adherence above 90% and guarantee green-channel vehicles unload within 15 minutes.</t>
  </si>
  <si>
    <t>Automate dock-vehicle matching with real-time queuing to push utilization above 90%, FIFO adherence to 100%, and green-channel wait time under 10 minutes.</t>
  </si>
  <si>
    <t xml:space="preserve">Fit buffers on at least a quarter of docks, prioritizing the highest-traffic ones.
 Start logging dock-damage incidents (even informally) as they happen.</t>
  </si>
  <si>
    <t xml:space="preserve">Expand buffer coverage toward the halfway mark.
 Introduce a formal, if basic, penalty (warning/fine) for a driver's repeat dock-damage incident.
 Begin monthly physical dock-structure inspections logged separately from buffer damage.</t>
  </si>
  <si>
    <t xml:space="preserve">Push buffer coverage into the 75-95% range.
 Formalize a graded penalty scale (warning to fine to vendor/transporter review) for repeat offenders.
 Move dock-structure inspection to weekly with defects tracked to closure.</t>
  </si>
  <si>
    <t xml:space="preserve">Complete buffer coverage to 100%.
 Enforce the graded penalty scale strictly to hold repeat-offense rate under 2%.
 Run a preventive maintenance schedule and verify zero unresolved structural damage via weekly inspection.</t>
  </si>
  <si>
    <t xml:space="preserve">Define a target unloading SLA (~500 units/person/hour for pre-packed material) and start marking a palletisation zone, even loosely.
 Introduce an informal pre-packed bypass flag for known vendors.</t>
  </si>
  <si>
    <t xml:space="preserve">Assign dock-wise supervisor-led unloading teams.
 Enforce the crate-stacking SOP and keep the palletisation/S&amp;G zones marked.
 Relocate waste disposal away from the inbound gate.
 Extend the bypass flag to 30-60% of eligible pre-packed loads.</t>
  </si>
  <si>
    <t xml:space="preserve">Push supervisor-led teams to every shift.
 Mark FIFO lanes for S&amp;G and a separate dry-category lane.
 Raise crate-stacking SOP compliance and bypass-flag usage into the 60-90% range.</t>
  </si>
  <si>
    <t xml:space="preserve">Drive unloading SLA, crate-stacking, and bypass-flag compliance above 90% with zero space-constraint or cross-flow incidents.
 Fully integrate the bypass flag into the load-declaration/GRN step.</t>
  </si>
  <si>
    <t xml:space="preserve">Start piloting digital weighment integration with the WMS/GRN system on a subset of lanes.
 Establish a minimum 1.5m clear aisle between weighment and staging.
 Put scale calibration on a defined (even if not daily) schedule.</t>
  </si>
  <si>
    <t xml:space="preserve">Extend digital weighment integration to 30-60% of transactions.
 Begin shifting weighment to the unloading stage (ahead of S&amp;G) for some vendor categories to cut PO-closure delay.</t>
  </si>
  <si>
    <t xml:space="preserve">Push digital weighment coverage to 60-90%.
 Make weighment-at-unloading-stage the default for the majority of vendors.
 Move scale recalibration to daily with tare memory per packaging type.
 Retain digital weight logs as an audit trail.</t>
  </si>
  <si>
    <t xml:space="preserve">Complete digital weighment integration above 90% with zero manual entry.
 Make same-day PO closure the norm.
 Use the digital weight log routinely for supplier invoice reconciliation and shrinkage analysis.</t>
  </si>
  <si>
    <t xml:space="preserve">Introduce an informal capacity check (even a phone call to the dock supervisor) before releasing any vehicle.
 Designate (even if unenforced) a waiting/parking zone for held vehicles.
 Start issuing an exit slip on gate-out.</t>
  </si>
  <si>
    <t xml:space="preserve">Define a formal capacity check with a stated time window (e.g., 15 minutes for dock bay plus staging space) and route 'no' decisions to the holding area.
 Introduce a basic reject-vs-hold rule.
 Make exit-slip issuance standard.</t>
  </si>
  <si>
    <t xml:space="preserve">Extend capacity-gated release to the majority of gate-ins.
 Formalize the full reject/temp-reject/hold/bypass decision taxonomy.
 Add outbound-seal verification to gate-out.
 Install physical enablers (multi-lane entry, boom barrier, CCTV/tablet).</t>
  </si>
  <si>
    <t xml:space="preserve">Push capacity-gated release above 90% in real time, tied live to the dock-management and staging systems.
 Apply the full decision taxonomy with a complete audit trail.
 Make gate-out fully controlled (exit slip plus seal verification on 100% of dispatches).
 Add a weighbridge where applicable.</t>
  </si>
  <si>
    <t>Start measuring Dock-to-Stock Time end-to-end (even as a simple manual timestamp difference) so the current 8+ hour baseline becomes visible.</t>
  </si>
  <si>
    <t>Track Dock-to-Stock Time daily as a standing facility KPI, not just a monthly average.</t>
  </si>
  <si>
    <t>Break Dock-to-Stock Time into its three stages (dock-in, GRN TAT, putaway TAT) to identify and act on the single slowest stage.</t>
  </si>
  <si>
    <t>Automate real-time, end-to-end tracking with stage-wise breach alerts so Dock-to-Stock Time is actively managed, not just reported.</t>
  </si>
  <si>
    <t>Start timing unloading per vehicle (dock-in to unload-complete), even manually, to establish a baseline against the 90-minute mark.</t>
  </si>
  <si>
    <t>Track Unloading TAT per vehicle (not just in aggregate) for the majority of dock-ins.</t>
  </si>
  <si>
    <t>Review Unloading TAT daily against the unloading SLA and act on outliers.</t>
  </si>
  <si>
    <t>Move to real-time per-vehicle tracking feeding directly into the Dock-to-Stock Time KPI, driving TAT under 25 minutes.</t>
  </si>
  <si>
    <t>Start timing Putaway TAT (GRN-complete to putaway-complete), even as a manual daily average.</t>
  </si>
  <si>
    <t>Track Putaway TAT daily by zone to see where goods are getting stuck between GRN and shelf.</t>
  </si>
  <si>
    <t>Add SKU-level tracking and set a defined target TAT per zone/SKU, reviewing actuals against it.</t>
  </si>
  <si>
    <t>Move to real-time zone/SKU tracking so Putaway TAT closes the loop into the Dock-to-Stock Time KPI, driving it under 1 hour.</t>
  </si>
  <si>
    <t>Document at least 3-4 of the 9 core QMS elements, starting with policy, SOPs, and a responsibility matrix.</t>
  </si>
  <si>
    <t>Complete documentation for 5-6 elements and put them into active use, with at least an annual review cycle.</t>
  </si>
  <si>
    <t>Extend to 7-8 elements with quarterly review and clear ownership assigned to each.</t>
  </si>
  <si>
    <t>Complete all 9 elements, version-control them, and link them to a closed-loop CAPA process with under 5-day average closure time.</t>
  </si>
  <si>
    <t xml:space="preserve">Define a sampling percentage and a written AQR format, even if not yet consistently applied.
 Require quality-team sign-off before GRN posting (even if it currently happens late).</t>
  </si>
  <si>
    <t xml:space="preserve">Fix sampling at ~10% with a 20% defect-rejection threshold.
 Make GRN approval procedurally dependent on quality clearance (even if still manual/paper-based).
 Apply the AQR before unloading for the majority of lots.</t>
  </si>
  <si>
    <t xml:space="preserve">Segment sampling/rejection by category (FnV vs. dry) with batch/expiry and shelf-life checks.
 Make GRN posting a hard system hold pending quality clearance.
 Start tracking QC/vehicle rejection by vendor and SKU into a periodic supplier scorecard.</t>
  </si>
  <si>
    <t xml:space="preserve">Digitize sampling/rejection norms per SKU category with under 2% inspection error.
 Make GRN release fully system-enforced with zero exceptions and a full sign-off audit trail.
 Run the AQR and supplier scorecard in real time, feeding vendor reviews.</t>
  </si>
  <si>
    <t>Define a basic RTV process, even informal, to move same-day closure above 30%.</t>
  </si>
  <si>
    <t>Formalize the RTV policy by SKU category (hard/soft goods) to push same-day closure into the 50-75% range.</t>
  </si>
  <si>
    <t>Track RTV performance and review pending-returns space usage weekly to push same-day closure into the 75-95% range.</t>
  </si>
  <si>
    <t>Fully systemize RTV to sustain over 95% same-day closure with zero aged-return inventory beyond 24 hours.</t>
  </si>
  <si>
    <t>Start tracking complaint rate consistently (both as % of volume and in PPM), even without root-cause analysis yet.</t>
  </si>
  <si>
    <t>Categorize complaints monthly and benchmark PPM against the industry band.</t>
  </si>
  <si>
    <t xml:space="preserve">Add root-cause analysis with a 7-day corrective-action closure target.
 Track PPM weekly against a defined benchmark.</t>
  </si>
  <si>
    <t>Move to real-time tracking with 48-hour closed-loop resolution, holding complaint rate under 1% and PPM under 50.</t>
  </si>
  <si>
    <t>Start logging every near-miss and safety incident, not just reportable injuries, to get a real weekly count.</t>
  </si>
  <si>
    <t>Review the logged incidents monthly and begin categorizing root causes, even without corrective-action tracking yet.</t>
  </si>
  <si>
    <t>Move incident review to daily and track corrective actions through to closure for the majority of incidents.</t>
  </si>
  <si>
    <t>Hold incidents to zero reportable and under 1 near-miss/month, with corrective actions closed within a defined SLA and results feeding the QMS risk-analysis element.</t>
  </si>
  <si>
    <t>Start manual spot-checks of chiller/freezer temperatures a few times a day, even without formal logging yet.</t>
  </si>
  <si>
    <t>Log daily manual readings for the main cold zones to push compliance into the 85-95% range.</t>
  </si>
  <si>
    <t>Install continuous sensor monitoring for the majority of cold-chain zones with daily breach review.</t>
  </si>
  <si>
    <t>Extend sensor monitoring to 100% of cold-chain zones with real-time breach alerts, holding compliance above 98%.</t>
  </si>
  <si>
    <t>Run a 5S pilot in one area and start basic floor demarcation there (aisles, storage) to lift the audit score above 40%.</t>
  </si>
  <si>
    <t xml:space="preserve">Extend Sort/Set/Shine facility-wide with quarterly audits.
 Expand demarcation to include S&amp;G/packing space and storage marking.</t>
  </si>
  <si>
    <t xml:space="preserve">Standardize 5S across all zones with monthly audits and biannual training.
 Extend demarcation to buffer-pallet staging and packaging-material storage.</t>
  </si>
  <si>
    <t xml:space="preserve">Sustain 5S with daily checks and a documented Kaizen count.
 Complete 100% zone demarcation (including tools/machinery) with colour-coding, auditing demarcation adherence as part of the daily check.</t>
  </si>
  <si>
    <t>Deploy a second lean principle (e.g., start value-stream mapping) and introduce PDCA on at least a few processes.</t>
  </si>
  <si>
    <t xml:space="preserve">Deploy a third principle and embed PDCA in 20-50% of processes.
 Start tracking 2-3 of the 8 waste types.</t>
  </si>
  <si>
    <t xml:space="preserve">Add pull/JIT replenishment as a fourth principle.
 Push PDCA to 50-80% of processes and track 5-6 waste types with quarterly reduction targets.</t>
  </si>
  <si>
    <t xml:space="preserve">Fully embed all 5 lean principles with PDCA in over 80% of processes.
 Track all 8 waste types with measurable year-on-year reduction above 10%.</t>
  </si>
  <si>
    <t>Document standard ITL flows for the highest-volume scenarios to push documentation above 30%.</t>
  </si>
  <si>
    <t>Document the major exception scenarios alongside standard flows to reach 50-75% coverage.</t>
  </si>
  <si>
    <t>Version-control the documentation and review it twice a year, pushing coverage into the 75-95% range.</t>
  </si>
  <si>
    <t>Digitize and review documentation quarterly, closing any undocumented recurring exception to reach over 95% coverage.</t>
  </si>
  <si>
    <t>Define size/quality standards and a throughput SLA (~70 units/person/hour) for the first 30% of SKUs/stations, even if compliance is uneven.</t>
  </si>
  <si>
    <t xml:space="preserve">Extend standards and throughput-SLA tracking to 30-60% of SKUs/stations.
 Start assigning experienced manpower to piece-category SKUs, even if inconsistently.</t>
  </si>
  <si>
    <t xml:space="preserve">Extend to 60-90% of SKUs/stations with monthly grading-accuracy audits above 90%.
 Make experienced-manpower assignment for piece-category SKUs consistent.</t>
  </si>
  <si>
    <t>Complete standards and SLA tracking for 100% of SKUs/stations with weekly audits above 95% accuracy and a corrective feedback loop.</t>
  </si>
  <si>
    <t>Define packaging material by SKU for the first half of SKUs and start tracking a shift-level SLA on a subset of lines.</t>
  </si>
  <si>
    <t xml:space="preserve">Define packaging material for all SKUs.
 Introduce a formed-box staging shelf and begin aligning some vendors to FC pack standards to remove re-packing.</t>
  </si>
  <si>
    <t xml:space="preserve">Push productivity toward the 100-120 units/person/hour band with daily gang-output tracking.
 Extend FC-standard vendor alignment and dedicated chilled packing to 60-90% of applicable lines/shifts.</t>
  </si>
  <si>
    <t xml:space="preserve">Sustain productivity above 120 units/person/hour.
 Eliminate the re-pack sub-process for over 90% of applicable vendors and route 100% of chilled SKUs through a dedicated chilled station, tracked and improved monthly.</t>
  </si>
  <si>
    <t>Set the 4-person-per-table norm and start applying an S&amp;G-to-packing table ratio, even if compliance is under 40%.</t>
  </si>
  <si>
    <t xml:space="preserve">Push table-norm and ratio compliance into the 40-70% range.
 Begin an inter-vendor cleaning step, even if inconsistent.</t>
  </si>
  <si>
    <t xml:space="preserve">Monitor table norm and ratio adherence via regular floor walks to reach 70-95%.
 Make inter-vendor cleaning standard practice.</t>
  </si>
  <si>
    <t xml:space="preserve">Maintain over 95% adherence with real-time floor supervision.
 Enforce inter-vendor cleaning with zero cross-contamination incidents.</t>
  </si>
  <si>
    <t>Start tracking shrinkage in aggregate (even without category splits) to establish a baseline against the 5% ceiling.</t>
  </si>
  <si>
    <t xml:space="preserve">Split shrinkage tracking by SKU category against benchmark ranges.
 Start tracking seasonal RTV loss by season.</t>
  </si>
  <si>
    <t xml:space="preserve">Push category-level shrinkage within benchmark for over 80% of categories.
 Review the seasonal-loss trend monthly with corrective action for outliers.</t>
  </si>
  <si>
    <t>Hold shrinkage at or below benchmark for all categories and seasonal loss at 1.5% or below even in monsoon, with monthly root-cause review and documented reduction actions.</t>
  </si>
  <si>
    <t>Start measuring the repack/re-stickering rate consistently, even without a target yet, to get past pure anecdote.</t>
  </si>
  <si>
    <t>Set a 5% target and begin cause-coding rework into its specific drivers (banana re-sort, late ripeness segregation, idle organic-table time).</t>
  </si>
  <si>
    <t>Act on the cause-coded drivers - stop banana re-sorting, move ripeness segregation to the S&amp;G stage, convert the organic table to multi-use - tracking weekly to bring the rate into the 2-5% range.</t>
  </si>
  <si>
    <t>Sustain elimination of all three root causes for 2+ consecutive quarters, tracking daily, to hold the repack rate under 2%.</t>
  </si>
  <si>
    <t>Start tracking packing accuracy (correct SKU, quantity, and label per unit/case) distinctly from piece-level output checks, even in aggregate, to establish a baseline above 96%.</t>
  </si>
  <si>
    <t>Track it per packer/shift for the majority of lines.</t>
  </si>
  <si>
    <t>Review per-packer/shift accuracy daily and correct recurring error patterns to push into the 98-99% band.</t>
  </si>
  <si>
    <t>Move to real-time per-packer/shift tracking to sustain accuracy above 99%.</t>
  </si>
  <si>
    <t>Add a second forecasting layer (e.g., seasonal on top of baseline) to lift forecast accuracy above 60%.</t>
  </si>
  <si>
    <t xml:space="preserve">Add a third layer (event-based) and start tracking time-of-day demand curves for at least half of SKUs/stores.
 Give new stores a defined generic ramp-up curve instead of guesswork.</t>
  </si>
  <si>
    <t xml:space="preserve">Add the fourth layer (typically time-of-day or hyperlocal) and extend it to 70-90% of stores.
 Root-cause SKU-level forecast error monthly.
 Bridge new-store gaps with a comparable-store proxy model.</t>
  </si>
  <si>
    <t xml:space="preserve">Activate and continuously calibrate all 5 layers against actuals.
 Automate recalibration for hourly volatility and SKU-level accuracy.
 Cut the new-store proxy-to-actual transition to 2-4 weeks.</t>
  </si>
  <si>
    <t>Define a second inventory-planning component (e.g., a seasonal buffer) beyond regular+buffer stock.</t>
  </si>
  <si>
    <t>Add a third component (e.g., SKU assortment) and enforce FEFO for the majority of fresh SKUs to bring stockout/excess incidents into the 5-10% band.</t>
  </si>
  <si>
    <t>Add the fourth component (seasonal and festive buffers both applied) and move batch/expiry visibility to near-real-time to isolate the stockout-vs-waste trade-off.</t>
  </si>
  <si>
    <t>Automate all 5 components with weekly review and real-time, system-enforced batch/expiry visibility to hold incidents under 2% of SKUs monthly.</t>
  </si>
  <si>
    <t xml:space="preserve">Define the replenishment formula (Forecast Demand + Safety Stock - Current Inventory) and run it at least once a day.
 Introduce a basic reorder-point trigger for a subset of SKUs.</t>
  </si>
  <si>
    <t xml:space="preserve">Run replenishment daily on the standard formula.
 Extend the reorder-point trigger to 30-60% of SKUs with a manually-invoked emergency top-up process.
 Start tracking DoI by category.</t>
  </si>
  <si>
    <t xml:space="preserve">Move to twice-daily replenishment with a defined wave split and lead-time/buffer-capacity factored in.
 Extend reorder-point coverage to 60-90% of SKUs with an SLA-bound emergency top-up.
 Track DoI by SKU against a target band.</t>
  </si>
  <si>
    <t xml:space="preserve">Fully automate the twice-daily-plus cycle with an optimized wave split and lead-time-adjusted safety stock.
 Extend reorder-point/ARS coverage above 90%.
 Eliminate replenishment-receipt dock congestion and storage overflow via slotted receiving.</t>
  </si>
  <si>
    <t>Extend defined manpower planning to a third role and start tracking (even without acting on) attrition.</t>
  </si>
  <si>
    <t xml:space="preserve">Cover a fourth role.
 Introduce a surge-planning trigger and a gig-flex ratio for at least some shifts, even if reactive.</t>
  </si>
  <si>
    <t xml:space="preserve">Cover a fifth role with shift-level granularity.
 Build shift design around the full diurnal demand curve and put an active attrition/gig-supply mitigation plan in place.</t>
  </si>
  <si>
    <t xml:space="preserve">Cover all 6 roles with daily granularity and pre-built capacity buffers.
 Make surge planning and gig-flex proactive on over 90% of shifts, with attrition and gig-supply risk mitigated via a pre-qualified backup pool.</t>
  </si>
  <si>
    <t xml:space="preserve">Move to at least 1 planned warehouse-to-dark-store cycle per day (from ad hoc dispatch).
 Start applying route/truck-load optimization to at least some routes.</t>
  </si>
  <si>
    <t xml:space="preserve">Run 1-2 cycles per day with a defined (e.g., 70/30) wave split.
 Extend route/truck-load optimization to 30-60% of routes.
 Check freezer/cold-chain capacity before dispatch for temperature-sensitive SKUs.</t>
  </si>
  <si>
    <t xml:space="preserve">Push to 2 cycles per day with 70-90% wave-split adherence.
 Extend route optimization to 60-90% of routes.
 Give pre-live dark stores a defined, separate inward SOP.</t>
  </si>
  <si>
    <t xml:space="preserve">Run 2+ cycles per day with wave-split adherence above 90%, dynamically adjusted to dark-store stock in real time.
 Extend route optimization above 90% with OPH at/above target.
 Plan freezer capacity dynamically with zero breaches.</t>
  </si>
  <si>
    <t>Define and start using a D-minus planning day, even inconsistently, to push fill rate above 70%.</t>
  </si>
  <si>
    <t>Formalize the D-minus planning day for FnV/dry categories to push fill rate into the 80-90% range.</t>
  </si>
  <si>
    <t>Follow the D-minus cycle consistently and root-cause variance monthly to push fill rate into the 90-95% range.</t>
  </si>
  <si>
    <t>Follow D-minus planning on 100% of days, holding over/under-planning variance under 5% and fill rate above 95%.</t>
  </si>
  <si>
    <t>Start tracking at least one supplier dimension (OTIF or price) in aggregate.</t>
  </si>
  <si>
    <t>Track 2-3 dimensions by vendor on a periodic (e.g., quarterly) cadence, even without linking to sourcing decisions yet.</t>
  </si>
  <si>
    <t xml:space="preserve">Track all four dimensions by vendor monthly, feeding a basic scorecard.
 Start adjusting sourcing allocation for chronic underperformers and defining contracting/hedging for key SKUs.</t>
  </si>
  <si>
    <t xml:space="preserve">Move to real-time, vendor-and-SKU-level tracking via an automated scorecard driving sourcing/tiering decisions.
 Hold OTIF above 95% and hedge/contract price volatility for the majority of high-value categories.</t>
  </si>
  <si>
    <t>Start reconciling Indent against actual inward/dispatch, even just in aggregate, to establish a variance baseline.</t>
  </si>
  <si>
    <t>Reconcile daily for the majority of SKUs/stores to push variance into the 10-20% band.</t>
  </si>
  <si>
    <t>Root-cause the variance monthly to push it into the 5-10% band.</t>
  </si>
  <si>
    <t>Move to real-time reconciliation, reporting indent accuracy as a standing KPI alongside forecast accuracy, holding variance under 5%.</t>
  </si>
  <si>
    <t>Start enforcing FIFO picking/putaway in at least the highest-turnover zones.</t>
  </si>
  <si>
    <t>Extend enforcement to the majority of zones, even without system validation yet.</t>
  </si>
  <si>
    <t>Add system guidance for FIFO at putaway and picking across most zones.</t>
  </si>
  <si>
    <t>Make FIFO system-enforced with automatic exception flagging to sustain compliance above 95%.</t>
  </si>
  <si>
    <t>Start a periodic (even ad hoc) cycle-count process to establish an accuracy baseline above 90%.</t>
  </si>
  <si>
    <t>Put cycle counts on a defined periodic schedule to push accuracy into the 95-98% range.</t>
  </si>
  <si>
    <t>Move to weekly cycle counts with variance root-caused to push accuracy into the 98-99.5% range.</t>
  </si>
  <si>
    <t>Move to continuous/perpetual cycle counting with real-time variance alerts to sustain accuracy above 99.5%.</t>
  </si>
  <si>
    <t>Start tracking expiry loss as a distinct value/sales ratio, even without linking it to FEFO yet.</t>
  </si>
  <si>
    <t>Track it monthly and begin linking it conceptually to FEFO compliance.</t>
  </si>
  <si>
    <t>Review it monthly against FEFO compliance to close the loop and push loss into the 0.5-1% band.</t>
  </si>
  <si>
    <t>Track it in real time, directly reconciled against FEFO/FIFO compliance, to hold loss under 0.5%.</t>
  </si>
  <si>
    <t>Set a facility UPMH target if none exists, and start measuring actuals against it.</t>
  </si>
  <si>
    <t>Track UPMH weekly by function to push performance into the 85-95%-of-target band.</t>
  </si>
  <si>
    <t>Set function-level targets and review weekly, pushing into the 95-105% band.</t>
  </si>
  <si>
    <t>Drive continuous improvement against target to sustain UPMH at or above 105% consistently.</t>
  </si>
  <si>
    <t>Set a facility orders-per-manhour target if none exists, and start measuring actuals against it.</t>
  </si>
  <si>
    <t>Track it weekly by function to push performance into the 85-95%-of-target band.</t>
  </si>
  <si>
    <t>Drive continuous improvement against target to sustain orders-per-manhour at or above 105% consistently.</t>
  </si>
  <si>
    <t>Start tracking productive-hours utilization to establish a baseline above 60%.</t>
  </si>
  <si>
    <t>Track it weekly by function to push utilization into the 70-80% band.</t>
  </si>
  <si>
    <t>Set function-level targets and review weekly to push utilization into the 80-90% band.</t>
  </si>
  <si>
    <t>Drive continuous improvement to sustain utilization above 90%.</t>
  </si>
  <si>
    <t>Start tracking absenteeism daily, even without linking it to staffing-variance root cause yet, to get it under 10%.</t>
  </si>
  <si>
    <t>Review absenteeism daily as one driver of staffing variance to push it into the 5-7% band.</t>
  </si>
  <si>
    <t>Set a defined threshold and review it alongside attrition to push it into the 3-5% band.</t>
  </si>
  <si>
    <t>Review absenteeism jointly with attrition and gig-supply risk as the standing staffing-variance root-cause set, holding it under 3%.</t>
  </si>
  <si>
    <t>Start tracking Inward against Indent, even just in aggregate, to establish a variance baseline.</t>
  </si>
  <si>
    <t>Reconcile daily for FnV/dry categories to push variance into the 10-15% band.</t>
  </si>
  <si>
    <t>Move to real-time reconciliation as part of the daily planning-cycle KPI set, holding variance under 5%.</t>
  </si>
  <si>
    <t>Start tracking Dispatched against plan, even just in aggregate, to establish a variance baseline.</t>
  </si>
  <si>
    <t>Move to real-time reconciliation alongside fill rate as part of the daily planning-cycle KPI set, holding variance under 5%.</t>
  </si>
  <si>
    <t>Benchmark current throughput against the category standard (2.4 units/sq ft FnV or 13.5-15 dry) to identify the gap, and take the first layout/process fix to close it.</t>
  </si>
  <si>
    <t>Push throughput into the 75-90%-of-benchmark band via targeted layout or process changes.</t>
  </si>
  <si>
    <t>Reach 90-100% of benchmark and validate outbound dispatch capacity at approximately 4x warehouse area.</t>
  </si>
  <si>
    <t>Engineer and validate dispatch capacity at exactly 4x warehouse area, reviewed quarterly, sustaining throughput at or above benchmark.</t>
  </si>
  <si>
    <t>Benchmark the current layout against SPR/MTR standards and correct the storage-area ratio toward the 50-60% norm.</t>
  </si>
  <si>
    <t>Bring storage area to 50-60% of footprint and align aisle widths/beam lengths to standard.</t>
  </si>
  <si>
    <t>Achieve full SPR/MTR conformance (aisle width, overhang, sprinkler clearance) with storage ratio tuned to 50-55% (up to 60% where justified) and density near 22.5 units/sq ft.</t>
  </si>
  <si>
    <t>Optimize further with narrow-aisle configurations where applicable, tuning storage ratio precisely to inventory-days requirement.</t>
  </si>
  <si>
    <t>Start tracking a third cost component beyond the current 0-2, and review it annually.</t>
  </si>
  <si>
    <t>Add a fourth component and move review to quarterly.</t>
  </si>
  <si>
    <t>Add a fifth component and move review to monthly, feeding cost-per-unit optimization actions.</t>
  </si>
  <si>
    <t>Track all 6 components monthly or more frequently, documenting a continuous cost-per-unit reduction trend.</t>
  </si>
  <si>
    <t>Introduce a basic project charter (scope/objective) for the next project, even without a Gantt chart yet.</t>
  </si>
  <si>
    <t xml:space="preserve">Add a Gantt chart with milestones and a defined budget to the charter.
 Review milestone/timeline adherence monthly.</t>
  </si>
  <si>
    <t xml:space="preserve">Make the charter and Gantt chart mandatory for all projects.
 Review progress and cost weekly against the baseline, root-causing variances.</t>
  </si>
  <si>
    <t xml:space="preserve">Track projects in real time against a defined ownership/RACI matrix.
 Close out lessons-learned post-project to sustain over 90% on-time, in-budget delivery.</t>
  </si>
  <si>
    <t>Start tracking cost per order against a defined budget/benchmark, even if currently 10-20% over.</t>
  </si>
  <si>
    <t>Track it quarterly alongside cost-per-unit to bring it within 10% of budget.</t>
  </si>
  <si>
    <t>Move review to monthly to bring it at or below budget.</t>
  </si>
  <si>
    <t>Track monthly or more frequently, documenting a continuous downward trend below budget.</t>
  </si>
  <si>
    <t>Start normalizing utility cost per sqft against a defined budget/benchmark, even if currently 10-20% over.</t>
  </si>
  <si>
    <t>Track it quarterly to bring it within 10% of budget.</t>
  </si>
  <si>
    <t>Start tracking shrinkage cost as a % of sales, even without reconciling it to the volume-based shrinkage metric yet.</t>
  </si>
  <si>
    <t>Track it quarterly to bring it into the 1-1.5% band.</t>
  </si>
  <si>
    <t>Move review to monthly and reconcile it against the volume-based shrinkage metric to bring it into the 0.5-1% band.</t>
  </si>
  <si>
    <t>Track monthly or more frequently with a documented downward trend, holding it under 0.5% of sales.</t>
  </si>
  <si>
    <t>Start routing a small share of inbound FnV volume through a collection center to reduce first-mile disruption.</t>
  </si>
  <si>
    <t>Push routed volume into the 20-50% range.</t>
  </si>
  <si>
    <t>Push routed volume into the 50-80% range with a defined sorting/grading/packing split.</t>
  </si>
  <si>
    <t>Push routed volume above 80% and optimize the first-mile network to measurably reduce cost-per-unit quarter-on-quarter.</t>
  </si>
  <si>
    <t>Set and start tracking the 3 PM dispatch / 9 PM arrival cutoffs, even if adherence is still low.</t>
  </si>
  <si>
    <t>Push adherence into the 70-85% range so material typically arrives by 8-9 PM and packing completes by 11:30 PM.</t>
  </si>
  <si>
    <t>Push adherence into the 85-95% range so arrival is consistently by 7-8 PM, enabling processing completion by midnight and FnV dispatch by 1 PM.</t>
  </si>
  <si>
    <t>Push adherence above 95% on the full cutoff chain, tracked daily on an SLA dashboard.</t>
  </si>
  <si>
    <t>Define a loose processing split between collection center and warehouse instead of ad hoc daily allocation.</t>
  </si>
  <si>
    <t>Formalize the split as a fixed percentage and follow it on over 70% of days.</t>
  </si>
  <si>
    <t>Follow the defined split on over 90% of days, reviewing it monthly against volume and cost-per-unit impact.</t>
  </si>
  <si>
    <t>Optimize and review the split quarterly, following it on over 95% of days with a documented cost/productivity rationale.</t>
  </si>
  <si>
    <t>Start tracking unloading productivity in aggregate against the packed (500/hr) and bulk (5 pallets/hr) benchmarks.</t>
  </si>
  <si>
    <t>Hit benchmark for one load type consistently, even if the other still lags.</t>
  </si>
  <si>
    <t>Hit benchmark for both load types, tracked daily.</t>
  </si>
  <si>
    <t>Sustain benchmark for both load types in real time, with variance-driven staffing adjustments.</t>
  </si>
  <si>
    <t>Mark rough Wave Staging, Holding, and Reject/Dump zones (even with overlap) and start tracking picking SLA against the 600 units/person/hour benchmark for at least some shifts.</t>
  </si>
  <si>
    <t xml:space="preserve">Reduce zone overlap and introduce a (even inconsistent) clearance routine for the dump/reject corner.
 Define a maximum DoH target for held material.</t>
  </si>
  <si>
    <t xml:space="preserve">Eliminate zone overlap on 70-95% of days with a timed clearance SOP for the dump/reject corner.
 Track and mostly meet the DoH SLA.</t>
  </si>
  <si>
    <t xml:space="preserve">Sustain zero zone overlap and a fully followed clearance SOP with zero aged-waste incidents.
 Meet the DoH SLA on over 95% of days as part of routine floor governance.</t>
  </si>
  <si>
    <t>Define a loading SLA (~2,500 units/person/hour) and start reconciling system vs. physical allocation, even if only after the fact.</t>
  </si>
  <si>
    <t>Introduce scanner-based allocation for some dispatches, even if not yet simultaneous with physical completion.</t>
  </si>
  <si>
    <t>Make scanner-based allocation with simultaneous system/physical completion standard for the majority of dispatches.</t>
  </si>
  <si>
    <t>Push scanner-based, simultaneous allocation to 100% of dispatches, eliminating hub-level inventory mismatches entirely.</t>
  </si>
  <si>
    <t>Start tracking picking accuracy distinctly, even in aggregate, to establish a baseline above 95%.</t>
  </si>
  <si>
    <t>Track it per shift alongside the picking SLA to push it into the 97-98.5% band.</t>
  </si>
  <si>
    <t>Root-cause accuracy incidents weekly to push it into the 98.5-99.5% band.</t>
  </si>
  <si>
    <t>Move to real-time per-picker tracking with daily root-causing to sustain accuracy above 99.5%.</t>
  </si>
  <si>
    <t>Start tracking short-pick % distinctly to establish a baseline below 10%.</t>
  </si>
  <si>
    <t>Track it per shift to push it into the 2-5% band.</t>
  </si>
  <si>
    <t>Root-cause incidents weekly to push it into the 1-2% band.</t>
  </si>
  <si>
    <t>Move to real-time per-picker tracking with daily root-causing feeding into inventory-accuracy and slotting decisions, holding it under 1%.</t>
  </si>
  <si>
    <t>Start tracking not-found % distinctly to establish a baseline below 5%.</t>
  </si>
  <si>
    <t>Track it per shift to push it into the 1-2% band.</t>
  </si>
  <si>
    <t>Root-cause incidents weekly to push it into the 0.5-1% band.</t>
  </si>
  <si>
    <t>Move to real-time per-picker tracking with daily root-causing feeding into inventory-accuracy and slotting decisions, holding it under 0.5%.</t>
  </si>
  <si>
    <t>Start timing STN Ready Time to establish a baseline below 60 minutes.</t>
  </si>
  <si>
    <t>Identify and remove the biggest bottleneck between STN creation and ready-status to push it into the 25-40 minute band.</t>
  </si>
  <si>
    <t>Track it with rider/route-level breakdown to push it into the 10-25 minute band.</t>
  </si>
  <si>
    <t>Move to real-time tracking to sustain it under 10 minutes.</t>
  </si>
  <si>
    <t>Start timing Handover TAT to establish a baseline below 45 minutes.</t>
  </si>
  <si>
    <t>Identify and remove the biggest handover bottleneck to push it into the 20-30 minute band.</t>
  </si>
  <si>
    <t>Track it with rider/route-level breakdown to push it into the 10-20 minute band.</t>
  </si>
  <si>
    <t>Start timing outbound vehicle wait time to establish a baseline below 60 minutes.</t>
  </si>
  <si>
    <t>Identify and remove the biggest wait-time bottleneck to push it into the 25-40 minute band.</t>
  </si>
  <si>
    <t>Track it with route-level breakdown to push it into the 15-25 minute band.</t>
  </si>
  <si>
    <t>Move to real-time tracking to sustain it under 15 minutes.</t>
  </si>
  <si>
    <t>Start tracking dispatch SLA % to establish a baseline above 70%.</t>
  </si>
  <si>
    <t>Address the biggest recurring delay cause to push it into the 80-90% band.</t>
  </si>
  <si>
    <t>Track it with rider/route-level breakdown to push it into the 90-98% band.</t>
  </si>
  <si>
    <t>Move to real-time tracking across the pack-to-dispatch-to-handover chain to sustain it above 98%.</t>
  </si>
  <si>
    <t>review_status</t>
  </si>
  <si>
    <t>Closed</t>
  </si>
  <si>
    <t>Needs review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</si>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</sst>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FFFFFF"/>
      <sz val="10"/>
      <name val="Arial"/>
    </font>
    <font>
      <charset val="1"/>
      <sz val="10"/>
      <name val="Arial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0" fontId="2" fillId="2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workbookViewId="0" zoomScale="100" zoomScaleNormal="100">
      <pane ySplit="1" topLeftCell="A14" activePane="bottomLeft" state="frozen"/>
      <selection pane="bottomLeft" activeCell="D32" sqref="D32"/>
    </sheetView>
  </sheetViews>
  <sheetFormatPr defaultRowHeight="14.5" outlineLevelRow="0" outlineLevelCol="0" x14ac:dyDescent="0.35" defaultColWidth="8.6328125" customHeight="1"/>
  <cols>
    <col min="1" max="1" width="10" style="1" customWidth="1"/>
    <col min="2" max="2" width="30" style="1" customWidth="1"/>
    <col min="3" max="3" width="8" style="1" customWidth="1"/>
    <col min="4" max="4" width="30" style="1" customWidth="1"/>
    <col min="5" max="5" width="12" style="1" customWidth="1"/>
    <col min="6" max="6" width="10" style="1" customWidth="1"/>
    <col min="7" max="7" width="32" style="1" customWidth="1"/>
    <col min="8" max="8" width="14" style="2" customWidth="1"/>
    <col min="9" max="13" width="42" style="1" customWidth="1"/>
    <col min="14" max="14" width="9" style="1" customWidth="1"/>
    <col min="15" max="15" width="10" style="1" customWidth="1"/>
    <col min="16" max="16384" width="8.6328125" style="3" customWidth="1"/>
  </cols>
  <sheetData>
    <row r="1" ht="26" customHeight="1" spans="1: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ht="150" customHeight="1" spans="1:15" x14ac:dyDescent="0.25">
      <c r="A2" s="6" t="s">
        <v>15</v>
      </c>
      <c r="B2" s="6" t="s">
        <v>16</v>
      </c>
      <c r="C2" s="6" t="s">
        <v>17</v>
      </c>
      <c r="D2" s="6" t="s">
        <v>18</v>
      </c>
      <c r="E2" s="7">
        <f t="shared" ref="E2:E33" si="0">1/8</f>
        <v>0.125</v>
      </c>
      <c r="F2" s="6" t="s">
        <v>19</v>
      </c>
      <c r="G2" s="6" t="s">
        <v>20</v>
      </c>
      <c r="H2" s="7">
        <f t="shared" ref="H2:H12" si="1">1/11</f>
        <v>0.09090909090909091</v>
      </c>
      <c r="I2" s="8" t="s">
        <v>21</v>
      </c>
      <c r="J2" s="8" t="s">
        <v>22</v>
      </c>
      <c r="K2" s="8" t="s">
        <v>23</v>
      </c>
      <c r="L2" s="8" t="s">
        <v>24</v>
      </c>
      <c r="M2" s="8" t="s">
        <v>25</v>
      </c>
      <c r="N2" s="6">
        <v>1</v>
      </c>
      <c r="O2" s="6" t="s">
        <v>26</v>
      </c>
    </row>
    <row r="3" ht="150" customHeight="1" spans="1:15" x14ac:dyDescent="0.25">
      <c r="A3" s="6" t="s">
        <v>15</v>
      </c>
      <c r="B3" s="6" t="s">
        <v>16</v>
      </c>
      <c r="C3" s="6" t="s">
        <v>17</v>
      </c>
      <c r="D3" s="6" t="s">
        <v>18</v>
      </c>
      <c r="E3" s="7">
        <f t="shared" si="0"/>
        <v>0.125</v>
      </c>
      <c r="F3" s="6" t="s">
        <v>27</v>
      </c>
      <c r="G3" s="6" t="s">
        <v>28</v>
      </c>
      <c r="H3" s="7">
        <f t="shared" si="1"/>
        <v>0.09090909090909091</v>
      </c>
      <c r="I3" s="8" t="s">
        <v>29</v>
      </c>
      <c r="J3" s="8" t="s">
        <v>30</v>
      </c>
      <c r="K3" s="8" t="s">
        <v>31</v>
      </c>
      <c r="L3" s="8" t="s">
        <v>32</v>
      </c>
      <c r="M3" s="8" t="s">
        <v>33</v>
      </c>
      <c r="N3" s="6">
        <v>1</v>
      </c>
      <c r="O3" s="6" t="s">
        <v>26</v>
      </c>
    </row>
    <row r="4" ht="100" customHeight="1" spans="1:15" x14ac:dyDescent="0.25">
      <c r="A4" s="6" t="s">
        <v>15</v>
      </c>
      <c r="B4" s="6" t="s">
        <v>16</v>
      </c>
      <c r="C4" s="6" t="s">
        <v>17</v>
      </c>
      <c r="D4" s="6" t="s">
        <v>18</v>
      </c>
      <c r="E4" s="7">
        <f t="shared" si="0"/>
        <v>0.125</v>
      </c>
      <c r="F4" s="6" t="s">
        <v>34</v>
      </c>
      <c r="G4" s="6" t="s">
        <v>35</v>
      </c>
      <c r="H4" s="7">
        <f t="shared" si="1"/>
        <v>0.09090909090909091</v>
      </c>
      <c r="I4" s="8" t="s">
        <v>36</v>
      </c>
      <c r="J4" s="8" t="s">
        <v>37</v>
      </c>
      <c r="K4" s="8" t="s">
        <v>38</v>
      </c>
      <c r="L4" s="8" t="s">
        <v>39</v>
      </c>
      <c r="M4" s="8" t="s">
        <v>40</v>
      </c>
      <c r="N4" s="6">
        <v>1</v>
      </c>
      <c r="O4" s="6" t="s">
        <v>26</v>
      </c>
    </row>
    <row r="5" ht="50" customHeight="1" spans="1:15" x14ac:dyDescent="0.25">
      <c r="A5" s="6" t="s">
        <v>15</v>
      </c>
      <c r="B5" s="6" t="s">
        <v>16</v>
      </c>
      <c r="C5" s="6" t="s">
        <v>17</v>
      </c>
      <c r="D5" s="6" t="s">
        <v>18</v>
      </c>
      <c r="E5" s="7">
        <f t="shared" si="0"/>
        <v>0.125</v>
      </c>
      <c r="F5" s="6" t="s">
        <v>41</v>
      </c>
      <c r="G5" s="6" t="s">
        <v>42</v>
      </c>
      <c r="H5" s="7">
        <f t="shared" si="1"/>
        <v>0.09090909090909091</v>
      </c>
      <c r="I5" s="8" t="s">
        <v>43</v>
      </c>
      <c r="J5" s="8" t="s">
        <v>44</v>
      </c>
      <c r="K5" s="8" t="s">
        <v>45</v>
      </c>
      <c r="L5" s="8" t="s">
        <v>46</v>
      </c>
      <c r="M5" s="8" t="s">
        <v>47</v>
      </c>
      <c r="N5" s="6">
        <v>1</v>
      </c>
      <c r="O5" s="6" t="s">
        <v>26</v>
      </c>
    </row>
    <row r="6" ht="87.5" customHeight="1" spans="1:15" x14ac:dyDescent="0.25">
      <c r="A6" s="6" t="s">
        <v>15</v>
      </c>
      <c r="B6" s="6" t="s">
        <v>16</v>
      </c>
      <c r="C6" s="6" t="s">
        <v>17</v>
      </c>
      <c r="D6" s="6" t="s">
        <v>18</v>
      </c>
      <c r="E6" s="7">
        <f t="shared" si="0"/>
        <v>0.125</v>
      </c>
      <c r="F6" s="6" t="s">
        <v>48</v>
      </c>
      <c r="G6" s="6" t="s">
        <v>49</v>
      </c>
      <c r="H6" s="7">
        <f t="shared" si="1"/>
        <v>0.09090909090909091</v>
      </c>
      <c r="I6" s="8" t="s">
        <v>50</v>
      </c>
      <c r="J6" s="8" t="s">
        <v>51</v>
      </c>
      <c r="K6" s="8" t="s">
        <v>52</v>
      </c>
      <c r="L6" s="8" t="s">
        <v>53</v>
      </c>
      <c r="M6" s="8" t="s">
        <v>54</v>
      </c>
      <c r="N6" s="6">
        <v>1</v>
      </c>
      <c r="O6" s="6" t="s">
        <v>26</v>
      </c>
    </row>
    <row r="7" ht="217.5" customHeight="1" spans="1:15" x14ac:dyDescent="0.25">
      <c r="A7" s="1" t="s">
        <v>15</v>
      </c>
      <c r="B7" s="1" t="s">
        <v>16</v>
      </c>
      <c r="C7" s="1" t="s">
        <v>17</v>
      </c>
      <c r="D7" s="1" t="s">
        <v>18</v>
      </c>
      <c r="E7" s="1">
        <f t="shared" si="0"/>
        <v>0.125</v>
      </c>
      <c r="F7" s="1" t="s">
        <v>55</v>
      </c>
      <c r="G7" s="1" t="s">
        <v>56</v>
      </c>
      <c r="H7" s="2">
        <f t="shared" si="1"/>
        <v>0.09090909090909091</v>
      </c>
      <c r="I7" s="9" t="s">
        <v>57</v>
      </c>
      <c r="J7" s="9" t="s">
        <v>58</v>
      </c>
      <c r="K7" s="9" t="s">
        <v>59</v>
      </c>
      <c r="L7" s="9" t="s">
        <v>60</v>
      </c>
      <c r="M7" s="9" t="s">
        <v>61</v>
      </c>
      <c r="N7" s="1">
        <v>1</v>
      </c>
      <c r="O7" s="1" t="s">
        <v>26</v>
      </c>
    </row>
    <row r="8" ht="145" customHeight="1" spans="1:15" x14ac:dyDescent="0.25">
      <c r="A8" s="1" t="s">
        <v>15</v>
      </c>
      <c r="B8" s="1" t="s">
        <v>16</v>
      </c>
      <c r="C8" s="1" t="s">
        <v>17</v>
      </c>
      <c r="D8" s="1" t="s">
        <v>18</v>
      </c>
      <c r="E8" s="1">
        <f t="shared" si="0"/>
        <v>0.125</v>
      </c>
      <c r="F8" s="1" t="s">
        <v>62</v>
      </c>
      <c r="G8" s="1" t="s">
        <v>63</v>
      </c>
      <c r="H8" s="2">
        <f t="shared" si="1"/>
        <v>0.09090909090909091</v>
      </c>
      <c r="I8" s="9" t="s">
        <v>64</v>
      </c>
      <c r="J8" s="9" t="s">
        <v>65</v>
      </c>
      <c r="K8" s="9" t="s">
        <v>66</v>
      </c>
      <c r="L8" s="9" t="s">
        <v>67</v>
      </c>
      <c r="M8" s="9" t="s">
        <v>68</v>
      </c>
      <c r="N8" s="1">
        <v>1</v>
      </c>
      <c r="O8" s="1" t="s">
        <v>26</v>
      </c>
    </row>
    <row r="9" ht="174" customHeight="1" spans="1:15" x14ac:dyDescent="0.25">
      <c r="A9" s="1" t="s">
        <v>15</v>
      </c>
      <c r="B9" s="1" t="s">
        <v>16</v>
      </c>
      <c r="C9" s="1" t="s">
        <v>17</v>
      </c>
      <c r="D9" s="1" t="s">
        <v>18</v>
      </c>
      <c r="E9" s="1">
        <f t="shared" si="0"/>
        <v>0.125</v>
      </c>
      <c r="F9" s="1" t="s">
        <v>69</v>
      </c>
      <c r="G9" s="1" t="s">
        <v>70</v>
      </c>
      <c r="H9" s="2">
        <f t="shared" si="1"/>
        <v>0.09090909090909091</v>
      </c>
      <c r="I9" s="9" t="s">
        <v>71</v>
      </c>
      <c r="J9" s="9" t="s">
        <v>72</v>
      </c>
      <c r="K9" s="9" t="s">
        <v>73</v>
      </c>
      <c r="L9" s="9" t="s">
        <v>74</v>
      </c>
      <c r="M9" s="9" t="s">
        <v>75</v>
      </c>
      <c r="N9" s="1">
        <v>1</v>
      </c>
      <c r="O9" s="1" t="s">
        <v>26</v>
      </c>
    </row>
    <row r="10" ht="58" customHeight="1" spans="1:15" x14ac:dyDescent="0.25">
      <c r="A10" s="1" t="s">
        <v>15</v>
      </c>
      <c r="B10" s="1" t="s">
        <v>16</v>
      </c>
      <c r="C10" s="1" t="s">
        <v>17</v>
      </c>
      <c r="D10" s="1" t="s">
        <v>18</v>
      </c>
      <c r="E10" s="1">
        <f t="shared" si="0"/>
        <v>0.125</v>
      </c>
      <c r="F10" s="1" t="s">
        <v>76</v>
      </c>
      <c r="G10" s="1" t="s">
        <v>77</v>
      </c>
      <c r="H10" s="2">
        <f t="shared" si="1"/>
        <v>0.09090909090909091</v>
      </c>
      <c r="I10" s="9" t="s">
        <v>78</v>
      </c>
      <c r="J10" s="9" t="s">
        <v>79</v>
      </c>
      <c r="K10" s="9" t="s">
        <v>80</v>
      </c>
      <c r="L10" s="9" t="s">
        <v>81</v>
      </c>
      <c r="M10" s="9" t="s">
        <v>82</v>
      </c>
      <c r="N10" s="1">
        <v>1</v>
      </c>
      <c r="O10" s="1" t="s">
        <v>26</v>
      </c>
    </row>
    <row r="11" ht="43.5" customHeight="1" spans="1:15" x14ac:dyDescent="0.25">
      <c r="A11" s="1" t="s">
        <v>15</v>
      </c>
      <c r="B11" s="1" t="s">
        <v>16</v>
      </c>
      <c r="C11" s="1" t="s">
        <v>17</v>
      </c>
      <c r="D11" s="1" t="s">
        <v>18</v>
      </c>
      <c r="E11" s="1">
        <f t="shared" si="0"/>
        <v>0.125</v>
      </c>
      <c r="F11" s="1" t="s">
        <v>83</v>
      </c>
      <c r="G11" s="1" t="s">
        <v>84</v>
      </c>
      <c r="H11" s="2">
        <f t="shared" si="1"/>
        <v>0.09090909090909091</v>
      </c>
      <c r="I11" s="9" t="s">
        <v>85</v>
      </c>
      <c r="J11" s="9" t="s">
        <v>86</v>
      </c>
      <c r="K11" s="9" t="s">
        <v>87</v>
      </c>
      <c r="L11" s="9" t="s">
        <v>88</v>
      </c>
      <c r="M11" s="9" t="s">
        <v>89</v>
      </c>
      <c r="N11" s="1">
        <v>1</v>
      </c>
      <c r="O11" s="1" t="s">
        <v>26</v>
      </c>
    </row>
    <row r="12" ht="72.5" customHeight="1" spans="1:15" x14ac:dyDescent="0.25">
      <c r="A12" s="1" t="s">
        <v>15</v>
      </c>
      <c r="B12" s="1" t="s">
        <v>16</v>
      </c>
      <c r="C12" s="1" t="s">
        <v>17</v>
      </c>
      <c r="D12" s="1" t="s">
        <v>18</v>
      </c>
      <c r="E12" s="1">
        <f t="shared" si="0"/>
        <v>0.125</v>
      </c>
      <c r="F12" s="1" t="s">
        <v>90</v>
      </c>
      <c r="G12" s="1" t="s">
        <v>91</v>
      </c>
      <c r="H12" s="2">
        <f t="shared" si="1"/>
        <v>0.09090909090909091</v>
      </c>
      <c r="I12" s="9" t="s">
        <v>92</v>
      </c>
      <c r="J12" s="9" t="s">
        <v>93</v>
      </c>
      <c r="K12" s="9" t="s">
        <v>94</v>
      </c>
      <c r="L12" s="9" t="s">
        <v>95</v>
      </c>
      <c r="M12" s="9" t="s">
        <v>96</v>
      </c>
      <c r="N12" s="1">
        <v>1</v>
      </c>
      <c r="O12" s="1" t="s">
        <v>26</v>
      </c>
    </row>
    <row r="13" ht="62.5" customHeight="1" spans="1:15" x14ac:dyDescent="0.25">
      <c r="A13" s="6" t="s">
        <v>15</v>
      </c>
      <c r="B13" s="6" t="s">
        <v>16</v>
      </c>
      <c r="C13" s="6" t="s">
        <v>97</v>
      </c>
      <c r="D13" s="6" t="s">
        <v>98</v>
      </c>
      <c r="E13" s="7">
        <f t="shared" si="0"/>
        <v>0.125</v>
      </c>
      <c r="F13" s="6" t="s">
        <v>99</v>
      </c>
      <c r="G13" s="6" t="s">
        <v>100</v>
      </c>
      <c r="H13" s="7">
        <f t="shared" ref="H13:H18" si="2">1/6</f>
        <v>0.16666666666666666</v>
      </c>
      <c r="I13" s="8" t="s">
        <v>101</v>
      </c>
      <c r="J13" s="8" t="s">
        <v>102</v>
      </c>
      <c r="K13" s="8" t="s">
        <v>103</v>
      </c>
      <c r="L13" s="8" t="s">
        <v>104</v>
      </c>
      <c r="M13" s="8" t="s">
        <v>105</v>
      </c>
      <c r="N13" s="6">
        <v>1</v>
      </c>
      <c r="O13" s="6" t="s">
        <v>26</v>
      </c>
    </row>
    <row r="14" ht="162.5" customHeight="1" spans="1:15" x14ac:dyDescent="0.25">
      <c r="A14" s="6" t="s">
        <v>15</v>
      </c>
      <c r="B14" s="6" t="s">
        <v>16</v>
      </c>
      <c r="C14" s="6" t="s">
        <v>97</v>
      </c>
      <c r="D14" s="6" t="s">
        <v>98</v>
      </c>
      <c r="E14" s="7">
        <f t="shared" si="0"/>
        <v>0.125</v>
      </c>
      <c r="F14" s="6" t="s">
        <v>106</v>
      </c>
      <c r="G14" s="6" t="s">
        <v>107</v>
      </c>
      <c r="H14" s="7">
        <f t="shared" si="2"/>
        <v>0.16666666666666666</v>
      </c>
      <c r="I14" s="8" t="s">
        <v>108</v>
      </c>
      <c r="J14" s="8" t="s">
        <v>109</v>
      </c>
      <c r="K14" s="8" t="s">
        <v>110</v>
      </c>
      <c r="L14" s="8" t="s">
        <v>111</v>
      </c>
      <c r="M14" s="8" t="s">
        <v>112</v>
      </c>
      <c r="N14" s="6">
        <v>1</v>
      </c>
      <c r="O14" s="6" t="s">
        <v>26</v>
      </c>
    </row>
    <row r="15" ht="37.5" customHeight="1" spans="1:15" x14ac:dyDescent="0.25">
      <c r="A15" s="6" t="s">
        <v>15</v>
      </c>
      <c r="B15" s="6" t="s">
        <v>16</v>
      </c>
      <c r="C15" s="6" t="s">
        <v>97</v>
      </c>
      <c r="D15" s="6" t="s">
        <v>98</v>
      </c>
      <c r="E15" s="7">
        <f t="shared" si="0"/>
        <v>0.125</v>
      </c>
      <c r="F15" s="6" t="s">
        <v>113</v>
      </c>
      <c r="G15" s="6" t="s">
        <v>114</v>
      </c>
      <c r="H15" s="7">
        <f t="shared" si="2"/>
        <v>0.16666666666666666</v>
      </c>
      <c r="I15" s="8" t="s">
        <v>115</v>
      </c>
      <c r="J15" s="8" t="s">
        <v>116</v>
      </c>
      <c r="K15" s="8" t="s">
        <v>117</v>
      </c>
      <c r="L15" s="8" t="s">
        <v>118</v>
      </c>
      <c r="M15" s="8" t="s">
        <v>119</v>
      </c>
      <c r="N15" s="6">
        <v>1</v>
      </c>
      <c r="O15" s="6" t="s">
        <v>26</v>
      </c>
    </row>
    <row r="16" ht="87.5" customHeight="1" spans="1:15" x14ac:dyDescent="0.25">
      <c r="A16" s="6" t="s">
        <v>15</v>
      </c>
      <c r="B16" s="6" t="s">
        <v>16</v>
      </c>
      <c r="C16" s="6" t="s">
        <v>97</v>
      </c>
      <c r="D16" s="6" t="s">
        <v>98</v>
      </c>
      <c r="E16" s="7">
        <f t="shared" si="0"/>
        <v>0.125</v>
      </c>
      <c r="F16" s="6" t="s">
        <v>120</v>
      </c>
      <c r="G16" s="6" t="s">
        <v>121</v>
      </c>
      <c r="H16" s="7">
        <f t="shared" si="2"/>
        <v>0.16666666666666666</v>
      </c>
      <c r="I16" s="8" t="s">
        <v>122</v>
      </c>
      <c r="J16" s="8" t="s">
        <v>123</v>
      </c>
      <c r="K16" s="8" t="s">
        <v>124</v>
      </c>
      <c r="L16" s="8" t="s">
        <v>125</v>
      </c>
      <c r="M16" s="8" t="s">
        <v>126</v>
      </c>
      <c r="N16" s="6">
        <v>1</v>
      </c>
      <c r="O16" s="6" t="s">
        <v>26</v>
      </c>
    </row>
    <row r="17" ht="58" customHeight="1" spans="1:15" x14ac:dyDescent="0.25">
      <c r="A17" s="1" t="s">
        <v>15</v>
      </c>
      <c r="B17" s="1" t="s">
        <v>16</v>
      </c>
      <c r="C17" s="1" t="s">
        <v>97</v>
      </c>
      <c r="D17" s="1" t="s">
        <v>98</v>
      </c>
      <c r="E17" s="1">
        <f t="shared" si="0"/>
        <v>0.125</v>
      </c>
      <c r="F17" s="1" t="s">
        <v>127</v>
      </c>
      <c r="G17" s="1" t="s">
        <v>128</v>
      </c>
      <c r="H17" s="2">
        <f t="shared" si="2"/>
        <v>0.16666666666666666</v>
      </c>
      <c r="I17" s="9" t="s">
        <v>129</v>
      </c>
      <c r="J17" s="9" t="s">
        <v>130</v>
      </c>
      <c r="K17" s="9" t="s">
        <v>131</v>
      </c>
      <c r="L17" s="9" t="s">
        <v>132</v>
      </c>
      <c r="M17" s="9" t="s">
        <v>133</v>
      </c>
      <c r="N17" s="1">
        <v>1</v>
      </c>
      <c r="O17" s="1" t="s">
        <v>26</v>
      </c>
    </row>
    <row r="18" ht="58" customHeight="1" spans="1:15" x14ac:dyDescent="0.25">
      <c r="A18" s="1" t="s">
        <v>15</v>
      </c>
      <c r="B18" s="1" t="s">
        <v>16</v>
      </c>
      <c r="C18" s="1" t="s">
        <v>97</v>
      </c>
      <c r="D18" s="1" t="s">
        <v>98</v>
      </c>
      <c r="E18" s="1">
        <f t="shared" si="0"/>
        <v>0.125</v>
      </c>
      <c r="F18" s="1" t="s">
        <v>134</v>
      </c>
      <c r="G18" s="1" t="s">
        <v>135</v>
      </c>
      <c r="H18" s="2">
        <f t="shared" si="2"/>
        <v>0.16666666666666666</v>
      </c>
      <c r="I18" s="9" t="s">
        <v>136</v>
      </c>
      <c r="J18" s="9" t="s">
        <v>137</v>
      </c>
      <c r="K18" s="9" t="s">
        <v>138</v>
      </c>
      <c r="L18" s="9" t="s">
        <v>139</v>
      </c>
      <c r="M18" s="9" t="s">
        <v>140</v>
      </c>
      <c r="N18" s="1">
        <v>1</v>
      </c>
      <c r="O18" s="1" t="s">
        <v>26</v>
      </c>
    </row>
    <row r="19" ht="112.5" customHeight="1" spans="1:15" x14ac:dyDescent="0.25">
      <c r="A19" s="6" t="s">
        <v>15</v>
      </c>
      <c r="B19" s="6" t="s">
        <v>16</v>
      </c>
      <c r="C19" s="6" t="s">
        <v>141</v>
      </c>
      <c r="D19" s="6" t="s">
        <v>142</v>
      </c>
      <c r="E19" s="7">
        <f t="shared" si="0"/>
        <v>0.125</v>
      </c>
      <c r="F19" s="6" t="s">
        <v>143</v>
      </c>
      <c r="G19" s="6" t="s">
        <v>144</v>
      </c>
      <c r="H19" s="7">
        <f>1/3</f>
        <v>0.3333333333333333</v>
      </c>
      <c r="I19" s="8" t="s">
        <v>145</v>
      </c>
      <c r="J19" s="8" t="s">
        <v>146</v>
      </c>
      <c r="K19" s="8" t="s">
        <v>147</v>
      </c>
      <c r="L19" s="8" t="s">
        <v>148</v>
      </c>
      <c r="M19" s="8" t="s">
        <v>149</v>
      </c>
      <c r="N19" s="6">
        <v>1</v>
      </c>
      <c r="O19" s="6" t="s">
        <v>26</v>
      </c>
    </row>
    <row r="20" ht="50" customHeight="1" spans="1:15" x14ac:dyDescent="0.25">
      <c r="A20" s="6" t="s">
        <v>15</v>
      </c>
      <c r="B20" s="6" t="s">
        <v>16</v>
      </c>
      <c r="C20" s="6" t="s">
        <v>141</v>
      </c>
      <c r="D20" s="6" t="s">
        <v>142</v>
      </c>
      <c r="E20" s="7">
        <f t="shared" si="0"/>
        <v>0.125</v>
      </c>
      <c r="F20" s="6" t="s">
        <v>150</v>
      </c>
      <c r="G20" s="6" t="s">
        <v>151</v>
      </c>
      <c r="H20" s="7">
        <f>1/3</f>
        <v>0.3333333333333333</v>
      </c>
      <c r="I20" s="8" t="s">
        <v>152</v>
      </c>
      <c r="J20" s="8" t="s">
        <v>153</v>
      </c>
      <c r="K20" s="8" t="s">
        <v>154</v>
      </c>
      <c r="L20" s="8" t="s">
        <v>155</v>
      </c>
      <c r="M20" s="8" t="s">
        <v>156</v>
      </c>
      <c r="N20" s="6">
        <v>1</v>
      </c>
      <c r="O20" s="6" t="s">
        <v>26</v>
      </c>
    </row>
    <row r="21" ht="50" customHeight="1" spans="1:15" x14ac:dyDescent="0.25">
      <c r="A21" s="6" t="s">
        <v>15</v>
      </c>
      <c r="B21" s="6" t="s">
        <v>16</v>
      </c>
      <c r="C21" s="6" t="s">
        <v>141</v>
      </c>
      <c r="D21" s="6" t="s">
        <v>142</v>
      </c>
      <c r="E21" s="7">
        <f t="shared" si="0"/>
        <v>0.125</v>
      </c>
      <c r="F21" s="6" t="s">
        <v>157</v>
      </c>
      <c r="G21" s="6" t="s">
        <v>158</v>
      </c>
      <c r="H21" s="7">
        <f>1/3</f>
        <v>0.3333333333333333</v>
      </c>
      <c r="I21" s="8" t="s">
        <v>159</v>
      </c>
      <c r="J21" s="8" t="s">
        <v>160</v>
      </c>
      <c r="K21" s="8" t="s">
        <v>161</v>
      </c>
      <c r="L21" s="8" t="s">
        <v>162</v>
      </c>
      <c r="M21" s="8" t="s">
        <v>163</v>
      </c>
      <c r="N21" s="6">
        <v>1</v>
      </c>
      <c r="O21" s="6" t="s">
        <v>26</v>
      </c>
    </row>
    <row r="22" ht="112.5" customHeight="1" spans="1:15" x14ac:dyDescent="0.25">
      <c r="A22" s="6" t="s">
        <v>15</v>
      </c>
      <c r="B22" s="6" t="s">
        <v>16</v>
      </c>
      <c r="C22" s="6" t="s">
        <v>164</v>
      </c>
      <c r="D22" s="6" t="s">
        <v>165</v>
      </c>
      <c r="E22" s="7">
        <f t="shared" si="0"/>
        <v>0.125</v>
      </c>
      <c r="F22" s="6" t="s">
        <v>166</v>
      </c>
      <c r="G22" s="6" t="s">
        <v>167</v>
      </c>
      <c r="H22" s="7">
        <f t="shared" ref="H22:H27" si="3">1/6</f>
        <v>0.16666666666666666</v>
      </c>
      <c r="I22" s="8" t="s">
        <v>168</v>
      </c>
      <c r="J22" s="8" t="s">
        <v>169</v>
      </c>
      <c r="K22" s="8" t="s">
        <v>170</v>
      </c>
      <c r="L22" s="8" t="s">
        <v>171</v>
      </c>
      <c r="M22" s="8" t="s">
        <v>172</v>
      </c>
      <c r="N22" s="6">
        <v>1</v>
      </c>
      <c r="O22" s="6" t="s">
        <v>26</v>
      </c>
    </row>
    <row r="23" ht="137.5" customHeight="1" spans="1:15" x14ac:dyDescent="0.25">
      <c r="A23" s="6" t="s">
        <v>15</v>
      </c>
      <c r="B23" s="6" t="s">
        <v>16</v>
      </c>
      <c r="C23" s="6" t="s">
        <v>164</v>
      </c>
      <c r="D23" s="6" t="s">
        <v>165</v>
      </c>
      <c r="E23" s="7">
        <f t="shared" si="0"/>
        <v>0.125</v>
      </c>
      <c r="F23" s="6" t="s">
        <v>173</v>
      </c>
      <c r="G23" s="6" t="s">
        <v>174</v>
      </c>
      <c r="H23" s="7">
        <f t="shared" si="3"/>
        <v>0.16666666666666666</v>
      </c>
      <c r="I23" s="8" t="s">
        <v>175</v>
      </c>
      <c r="J23" s="8" t="s">
        <v>176</v>
      </c>
      <c r="K23" s="8" t="s">
        <v>177</v>
      </c>
      <c r="L23" s="8" t="s">
        <v>178</v>
      </c>
      <c r="M23" s="8" t="s">
        <v>179</v>
      </c>
      <c r="N23" s="6">
        <v>1</v>
      </c>
      <c r="O23" s="6" t="s">
        <v>26</v>
      </c>
    </row>
    <row r="24" ht="112.5" customHeight="1" spans="1:15" x14ac:dyDescent="0.25">
      <c r="A24" s="6" t="s">
        <v>15</v>
      </c>
      <c r="B24" s="6" t="s">
        <v>16</v>
      </c>
      <c r="C24" s="6" t="s">
        <v>164</v>
      </c>
      <c r="D24" s="6" t="s">
        <v>165</v>
      </c>
      <c r="E24" s="7">
        <f t="shared" si="0"/>
        <v>0.125</v>
      </c>
      <c r="F24" s="6" t="s">
        <v>180</v>
      </c>
      <c r="G24" s="6" t="s">
        <v>181</v>
      </c>
      <c r="H24" s="7">
        <f t="shared" si="3"/>
        <v>0.16666666666666666</v>
      </c>
      <c r="I24" s="8" t="s">
        <v>182</v>
      </c>
      <c r="J24" s="8" t="s">
        <v>183</v>
      </c>
      <c r="K24" s="8" t="s">
        <v>184</v>
      </c>
      <c r="L24" s="8" t="s">
        <v>185</v>
      </c>
      <c r="M24" s="8" t="s">
        <v>186</v>
      </c>
      <c r="N24" s="6">
        <v>1</v>
      </c>
      <c r="O24" s="6" t="s">
        <v>26</v>
      </c>
    </row>
    <row r="25" ht="50" customHeight="1" spans="1:15" x14ac:dyDescent="0.25">
      <c r="A25" s="6" t="s">
        <v>15</v>
      </c>
      <c r="B25" s="6" t="s">
        <v>16</v>
      </c>
      <c r="C25" s="6" t="s">
        <v>164</v>
      </c>
      <c r="D25" s="6" t="s">
        <v>165</v>
      </c>
      <c r="E25" s="7">
        <f t="shared" si="0"/>
        <v>0.125</v>
      </c>
      <c r="F25" s="6" t="s">
        <v>187</v>
      </c>
      <c r="G25" s="6" t="s">
        <v>188</v>
      </c>
      <c r="H25" s="7">
        <f t="shared" si="3"/>
        <v>0.16666666666666666</v>
      </c>
      <c r="I25" s="8" t="s">
        <v>189</v>
      </c>
      <c r="J25" s="8" t="s">
        <v>190</v>
      </c>
      <c r="K25" s="8" t="s">
        <v>191</v>
      </c>
      <c r="L25" s="8" t="s">
        <v>192</v>
      </c>
      <c r="M25" s="8" t="s">
        <v>193</v>
      </c>
      <c r="N25" s="6">
        <v>1</v>
      </c>
      <c r="O25" s="6" t="s">
        <v>26</v>
      </c>
    </row>
    <row r="26" ht="112.5" customHeight="1" spans="1:15" x14ac:dyDescent="0.25">
      <c r="A26" s="6" t="s">
        <v>15</v>
      </c>
      <c r="B26" s="6" t="s">
        <v>16</v>
      </c>
      <c r="C26" s="6" t="s">
        <v>164</v>
      </c>
      <c r="D26" s="6" t="s">
        <v>165</v>
      </c>
      <c r="E26" s="7">
        <f t="shared" si="0"/>
        <v>0.125</v>
      </c>
      <c r="F26" s="6" t="s">
        <v>194</v>
      </c>
      <c r="G26" s="6" t="s">
        <v>195</v>
      </c>
      <c r="H26" s="7">
        <f t="shared" si="3"/>
        <v>0.16666666666666666</v>
      </c>
      <c r="I26" s="8" t="s">
        <v>196</v>
      </c>
      <c r="J26" s="8" t="s">
        <v>197</v>
      </c>
      <c r="K26" s="8" t="s">
        <v>198</v>
      </c>
      <c r="L26" s="8" t="s">
        <v>199</v>
      </c>
      <c r="M26" s="8" t="s">
        <v>200</v>
      </c>
      <c r="N26" s="6">
        <v>1</v>
      </c>
      <c r="O26" s="6" t="s">
        <v>26</v>
      </c>
    </row>
    <row r="27" ht="43.5" customHeight="1" spans="1:15" x14ac:dyDescent="0.25">
      <c r="A27" s="1" t="s">
        <v>15</v>
      </c>
      <c r="B27" s="1" t="s">
        <v>16</v>
      </c>
      <c r="C27" s="1" t="s">
        <v>164</v>
      </c>
      <c r="D27" s="1" t="s">
        <v>165</v>
      </c>
      <c r="E27" s="1">
        <f t="shared" si="0"/>
        <v>0.125</v>
      </c>
      <c r="F27" s="1" t="s">
        <v>201</v>
      </c>
      <c r="G27" s="1" t="s">
        <v>202</v>
      </c>
      <c r="H27" s="2">
        <f t="shared" si="3"/>
        <v>0.16666666666666666</v>
      </c>
      <c r="I27" s="9" t="s">
        <v>203</v>
      </c>
      <c r="J27" s="9" t="s">
        <v>204</v>
      </c>
      <c r="K27" s="9" t="s">
        <v>205</v>
      </c>
      <c r="L27" s="9" t="s">
        <v>206</v>
      </c>
      <c r="M27" s="9" t="s">
        <v>207</v>
      </c>
      <c r="N27" s="1">
        <v>1</v>
      </c>
      <c r="O27" s="1" t="s">
        <v>26</v>
      </c>
    </row>
    <row r="28" ht="43.5" customHeight="1" spans="1:15" x14ac:dyDescent="0.25">
      <c r="A28" s="6" t="s">
        <v>15</v>
      </c>
      <c r="B28" s="6" t="s">
        <v>16</v>
      </c>
      <c r="C28" s="6" t="s">
        <v>208</v>
      </c>
      <c r="D28" s="6" t="s">
        <v>209</v>
      </c>
      <c r="E28" s="7">
        <f t="shared" si="0"/>
        <v>0.125</v>
      </c>
      <c r="F28" s="6" t="s">
        <v>210</v>
      </c>
      <c r="G28" s="6" t="s">
        <v>211</v>
      </c>
      <c r="H28" s="7">
        <f t="shared" ref="H28:H44" si="4">1/17</f>
        <v>0.058823529411764705</v>
      </c>
      <c r="I28" s="8" t="s">
        <v>212</v>
      </c>
      <c r="J28" s="8" t="s">
        <v>213</v>
      </c>
      <c r="K28" s="8" t="s">
        <v>214</v>
      </c>
      <c r="L28" s="8" t="s">
        <v>215</v>
      </c>
      <c r="M28" s="8" t="s">
        <v>216</v>
      </c>
      <c r="N28" s="6">
        <v>1</v>
      </c>
      <c r="O28" s="6" t="s">
        <v>26</v>
      </c>
    </row>
    <row r="29" ht="112.5" customHeight="1" spans="1:15" x14ac:dyDescent="0.25">
      <c r="A29" s="6" t="s">
        <v>15</v>
      </c>
      <c r="B29" s="6" t="s">
        <v>16</v>
      </c>
      <c r="C29" s="6" t="s">
        <v>208</v>
      </c>
      <c r="D29" s="6" t="s">
        <v>209</v>
      </c>
      <c r="E29" s="7">
        <f t="shared" si="0"/>
        <v>0.125</v>
      </c>
      <c r="F29" s="6" t="s">
        <v>217</v>
      </c>
      <c r="G29" s="6" t="s">
        <v>218</v>
      </c>
      <c r="H29" s="7">
        <f t="shared" si="4"/>
        <v>0.058823529411764705</v>
      </c>
      <c r="I29" s="8" t="s">
        <v>219</v>
      </c>
      <c r="J29" s="8" t="s">
        <v>220</v>
      </c>
      <c r="K29" s="8" t="s">
        <v>221</v>
      </c>
      <c r="L29" s="8" t="s">
        <v>222</v>
      </c>
      <c r="M29" s="8" t="s">
        <v>223</v>
      </c>
      <c r="N29" s="6">
        <v>1</v>
      </c>
      <c r="O29" s="6" t="s">
        <v>26</v>
      </c>
    </row>
    <row r="30" ht="112.5" customHeight="1" spans="1:15" x14ac:dyDescent="0.25">
      <c r="A30" s="6" t="s">
        <v>15</v>
      </c>
      <c r="B30" s="6" t="s">
        <v>16</v>
      </c>
      <c r="C30" s="6" t="s">
        <v>208</v>
      </c>
      <c r="D30" s="6" t="s">
        <v>209</v>
      </c>
      <c r="E30" s="7">
        <f t="shared" si="0"/>
        <v>0.125</v>
      </c>
      <c r="F30" s="6" t="s">
        <v>224</v>
      </c>
      <c r="G30" s="6" t="s">
        <v>225</v>
      </c>
      <c r="H30" s="7">
        <f t="shared" si="4"/>
        <v>0.058823529411764705</v>
      </c>
      <c r="I30" s="8" t="s">
        <v>226</v>
      </c>
      <c r="J30" s="8" t="s">
        <v>227</v>
      </c>
      <c r="K30" s="8" t="s">
        <v>228</v>
      </c>
      <c r="L30" s="8" t="s">
        <v>229</v>
      </c>
      <c r="M30" s="8" t="s">
        <v>230</v>
      </c>
      <c r="N30" s="6">
        <v>1</v>
      </c>
      <c r="O30" s="6" t="s">
        <v>26</v>
      </c>
    </row>
    <row r="31" ht="150" customHeight="1" spans="1:15" x14ac:dyDescent="0.25">
      <c r="A31" s="6" t="s">
        <v>15</v>
      </c>
      <c r="B31" s="6" t="s">
        <v>16</v>
      </c>
      <c r="C31" s="6" t="s">
        <v>208</v>
      </c>
      <c r="D31" s="6" t="s">
        <v>209</v>
      </c>
      <c r="E31" s="7">
        <f t="shared" si="0"/>
        <v>0.125</v>
      </c>
      <c r="F31" s="6" t="s">
        <v>231</v>
      </c>
      <c r="G31" s="6" t="s">
        <v>232</v>
      </c>
      <c r="H31" s="7">
        <f t="shared" si="4"/>
        <v>0.058823529411764705</v>
      </c>
      <c r="I31" s="8" t="s">
        <v>233</v>
      </c>
      <c r="J31" s="8" t="s">
        <v>234</v>
      </c>
      <c r="K31" s="8" t="s">
        <v>235</v>
      </c>
      <c r="L31" s="8" t="s">
        <v>236</v>
      </c>
      <c r="M31" s="8" t="s">
        <v>237</v>
      </c>
      <c r="N31" s="6">
        <v>1</v>
      </c>
      <c r="O31" s="6" t="s">
        <v>26</v>
      </c>
    </row>
    <row r="32" ht="100" customHeight="1" spans="1:15" x14ac:dyDescent="0.25">
      <c r="A32" s="6" t="s">
        <v>15</v>
      </c>
      <c r="B32" s="6" t="s">
        <v>16</v>
      </c>
      <c r="C32" s="6" t="s">
        <v>208</v>
      </c>
      <c r="D32" s="6" t="s">
        <v>209</v>
      </c>
      <c r="E32" s="7">
        <f t="shared" si="0"/>
        <v>0.125</v>
      </c>
      <c r="F32" s="6" t="s">
        <v>238</v>
      </c>
      <c r="G32" s="6" t="s">
        <v>239</v>
      </c>
      <c r="H32" s="7">
        <f t="shared" si="4"/>
        <v>0.058823529411764705</v>
      </c>
      <c r="I32" s="8" t="s">
        <v>240</v>
      </c>
      <c r="J32" s="8" t="s">
        <v>241</v>
      </c>
      <c r="K32" s="8" t="s">
        <v>242</v>
      </c>
      <c r="L32" s="8" t="s">
        <v>243</v>
      </c>
      <c r="M32" s="8" t="s">
        <v>244</v>
      </c>
      <c r="N32" s="6">
        <v>1</v>
      </c>
      <c r="O32" s="6" t="s">
        <v>26</v>
      </c>
    </row>
    <row r="33" ht="137.5" customHeight="1" spans="1:15" x14ac:dyDescent="0.25">
      <c r="A33" s="6" t="s">
        <v>15</v>
      </c>
      <c r="B33" s="6" t="s">
        <v>16</v>
      </c>
      <c r="C33" s="6" t="s">
        <v>208</v>
      </c>
      <c r="D33" s="6" t="s">
        <v>209</v>
      </c>
      <c r="E33" s="7">
        <f t="shared" si="0"/>
        <v>0.125</v>
      </c>
      <c r="F33" s="6" t="s">
        <v>245</v>
      </c>
      <c r="G33" s="6" t="s">
        <v>246</v>
      </c>
      <c r="H33" s="7">
        <f t="shared" si="4"/>
        <v>0.058823529411764705</v>
      </c>
      <c r="I33" s="8" t="s">
        <v>247</v>
      </c>
      <c r="J33" s="8" t="s">
        <v>248</v>
      </c>
      <c r="K33" s="8" t="s">
        <v>249</v>
      </c>
      <c r="L33" s="8" t="s">
        <v>250</v>
      </c>
      <c r="M33" s="8" t="s">
        <v>251</v>
      </c>
      <c r="N33" s="6">
        <v>1</v>
      </c>
      <c r="O33" s="6" t="s">
        <v>26</v>
      </c>
    </row>
    <row r="34" ht="37.5" customHeight="1" spans="1:15" x14ac:dyDescent="0.25">
      <c r="A34" s="1" t="s">
        <v>15</v>
      </c>
      <c r="B34" s="1" t="s">
        <v>16</v>
      </c>
      <c r="C34" s="1" t="s">
        <v>208</v>
      </c>
      <c r="D34" s="1" t="s">
        <v>209</v>
      </c>
      <c r="E34" s="1">
        <f t="shared" ref="E34:E64" si="5">1/8</f>
        <v>0.125</v>
      </c>
      <c r="F34" s="1" t="s">
        <v>252</v>
      </c>
      <c r="G34" s="1" t="s">
        <v>253</v>
      </c>
      <c r="H34" s="2">
        <f t="shared" si="4"/>
        <v>0.058823529411764705</v>
      </c>
      <c r="I34" s="9" t="s">
        <v>254</v>
      </c>
      <c r="J34" s="9" t="s">
        <v>255</v>
      </c>
      <c r="K34" s="9" t="s">
        <v>256</v>
      </c>
      <c r="L34" s="9" t="s">
        <v>257</v>
      </c>
      <c r="M34" s="9" t="s">
        <v>258</v>
      </c>
      <c r="N34" s="1">
        <v>1</v>
      </c>
      <c r="O34" s="1" t="s">
        <v>26</v>
      </c>
    </row>
    <row r="35" ht="130.5" customHeight="1" spans="1:15" x14ac:dyDescent="0.25">
      <c r="A35" s="1" t="s">
        <v>15</v>
      </c>
      <c r="B35" s="1" t="s">
        <v>16</v>
      </c>
      <c r="C35" s="1" t="s">
        <v>208</v>
      </c>
      <c r="D35" s="1" t="s">
        <v>209</v>
      </c>
      <c r="E35" s="1">
        <f t="shared" si="5"/>
        <v>0.125</v>
      </c>
      <c r="F35" s="1" t="s">
        <v>259</v>
      </c>
      <c r="G35" s="1" t="s">
        <v>260</v>
      </c>
      <c r="H35" s="2">
        <f t="shared" si="4"/>
        <v>0.058823529411764705</v>
      </c>
      <c r="I35" s="9" t="s">
        <v>261</v>
      </c>
      <c r="J35" s="9" t="s">
        <v>262</v>
      </c>
      <c r="K35" s="9" t="s">
        <v>263</v>
      </c>
      <c r="L35" s="9" t="s">
        <v>264</v>
      </c>
      <c r="M35" s="9" t="s">
        <v>265</v>
      </c>
      <c r="N35" s="1">
        <v>1</v>
      </c>
      <c r="O35" s="1" t="s">
        <v>26</v>
      </c>
    </row>
    <row r="36" ht="58" customHeight="1" spans="1:15" x14ac:dyDescent="0.25">
      <c r="A36" s="1" t="s">
        <v>15</v>
      </c>
      <c r="B36" s="1" t="s">
        <v>16</v>
      </c>
      <c r="C36" s="1" t="s">
        <v>208</v>
      </c>
      <c r="D36" s="1" t="s">
        <v>209</v>
      </c>
      <c r="E36" s="1">
        <f t="shared" si="5"/>
        <v>0.125</v>
      </c>
      <c r="F36" s="1" t="s">
        <v>266</v>
      </c>
      <c r="G36" s="1" t="s">
        <v>267</v>
      </c>
      <c r="H36" s="2">
        <f t="shared" si="4"/>
        <v>0.058823529411764705</v>
      </c>
      <c r="I36" s="9" t="s">
        <v>268</v>
      </c>
      <c r="J36" s="9" t="s">
        <v>269</v>
      </c>
      <c r="K36" s="9" t="s">
        <v>270</v>
      </c>
      <c r="L36" s="9" t="s">
        <v>271</v>
      </c>
      <c r="M36" s="9" t="s">
        <v>272</v>
      </c>
      <c r="N36" s="1">
        <v>1</v>
      </c>
      <c r="O36" s="1" t="s">
        <v>26</v>
      </c>
    </row>
    <row r="37" ht="58" customHeight="1" spans="1:15" x14ac:dyDescent="0.25">
      <c r="A37" s="1" t="s">
        <v>15</v>
      </c>
      <c r="B37" s="1" t="s">
        <v>16</v>
      </c>
      <c r="C37" s="1" t="s">
        <v>208</v>
      </c>
      <c r="D37" s="1" t="s">
        <v>209</v>
      </c>
      <c r="E37" s="1">
        <f t="shared" si="5"/>
        <v>0.125</v>
      </c>
      <c r="F37" s="1" t="s">
        <v>273</v>
      </c>
      <c r="G37" s="1" t="s">
        <v>274</v>
      </c>
      <c r="H37" s="2">
        <f t="shared" si="4"/>
        <v>0.058823529411764705</v>
      </c>
      <c r="I37" s="9" t="s">
        <v>275</v>
      </c>
      <c r="J37" s="9" t="s">
        <v>276</v>
      </c>
      <c r="K37" s="9" t="s">
        <v>277</v>
      </c>
      <c r="L37" s="9" t="s">
        <v>278</v>
      </c>
      <c r="M37" s="9" t="s">
        <v>279</v>
      </c>
      <c r="N37" s="1">
        <v>1</v>
      </c>
      <c r="O37" s="1" t="s">
        <v>26</v>
      </c>
    </row>
    <row r="38" ht="43.5" customHeight="1" spans="1:15" x14ac:dyDescent="0.25">
      <c r="A38" s="1" t="s">
        <v>15</v>
      </c>
      <c r="B38" s="1" t="s">
        <v>16</v>
      </c>
      <c r="C38" s="1" t="s">
        <v>208</v>
      </c>
      <c r="D38" s="1" t="s">
        <v>209</v>
      </c>
      <c r="E38" s="1">
        <f t="shared" si="5"/>
        <v>0.125</v>
      </c>
      <c r="F38" s="1" t="s">
        <v>280</v>
      </c>
      <c r="G38" s="1" t="s">
        <v>281</v>
      </c>
      <c r="H38" s="2">
        <f t="shared" si="4"/>
        <v>0.058823529411764705</v>
      </c>
      <c r="I38" s="9" t="s">
        <v>282</v>
      </c>
      <c r="J38" s="9" t="s">
        <v>283</v>
      </c>
      <c r="K38" s="9" t="s">
        <v>284</v>
      </c>
      <c r="L38" s="9" t="s">
        <v>285</v>
      </c>
      <c r="M38" s="9" t="s">
        <v>286</v>
      </c>
      <c r="N38" s="1">
        <v>1</v>
      </c>
      <c r="O38" s="1" t="s">
        <v>26</v>
      </c>
    </row>
    <row r="39" ht="43.5" customHeight="1" spans="1:15" x14ac:dyDescent="0.25">
      <c r="A39" s="1" t="s">
        <v>15</v>
      </c>
      <c r="B39" s="1" t="s">
        <v>16</v>
      </c>
      <c r="C39" s="1" t="s">
        <v>208</v>
      </c>
      <c r="D39" s="1" t="s">
        <v>209</v>
      </c>
      <c r="E39" s="1">
        <f t="shared" si="5"/>
        <v>0.125</v>
      </c>
      <c r="F39" s="1" t="s">
        <v>287</v>
      </c>
      <c r="G39" s="1" t="s">
        <v>288</v>
      </c>
      <c r="H39" s="2">
        <f t="shared" si="4"/>
        <v>0.058823529411764705</v>
      </c>
      <c r="I39" s="9" t="s">
        <v>289</v>
      </c>
      <c r="J39" s="9" t="s">
        <v>290</v>
      </c>
      <c r="K39" s="9" t="s">
        <v>291</v>
      </c>
      <c r="L39" s="9" t="s">
        <v>292</v>
      </c>
      <c r="M39" s="9" t="s">
        <v>293</v>
      </c>
      <c r="N39" s="1">
        <v>1</v>
      </c>
      <c r="O39" s="1" t="s">
        <v>26</v>
      </c>
    </row>
    <row r="40" ht="43.5" customHeight="1" spans="1:15" x14ac:dyDescent="0.25">
      <c r="A40" s="1" t="s">
        <v>15</v>
      </c>
      <c r="B40" s="1" t="s">
        <v>16</v>
      </c>
      <c r="C40" s="1" t="s">
        <v>208</v>
      </c>
      <c r="D40" s="1" t="s">
        <v>209</v>
      </c>
      <c r="E40" s="1">
        <f t="shared" si="5"/>
        <v>0.125</v>
      </c>
      <c r="F40" s="1" t="s">
        <v>294</v>
      </c>
      <c r="G40" s="1" t="s">
        <v>295</v>
      </c>
      <c r="H40" s="2">
        <f t="shared" si="4"/>
        <v>0.058823529411764705</v>
      </c>
      <c r="I40" s="9" t="s">
        <v>296</v>
      </c>
      <c r="J40" s="9" t="s">
        <v>297</v>
      </c>
      <c r="K40" s="9" t="s">
        <v>298</v>
      </c>
      <c r="L40" s="9" t="s">
        <v>299</v>
      </c>
      <c r="M40" s="9" t="s">
        <v>300</v>
      </c>
      <c r="N40" s="1">
        <v>1</v>
      </c>
      <c r="O40" s="1" t="s">
        <v>26</v>
      </c>
    </row>
    <row r="41" ht="43.5" customHeight="1" spans="1:15" x14ac:dyDescent="0.25">
      <c r="A41" s="1" t="s">
        <v>15</v>
      </c>
      <c r="B41" s="1" t="s">
        <v>16</v>
      </c>
      <c r="C41" s="1" t="s">
        <v>208</v>
      </c>
      <c r="D41" s="1" t="s">
        <v>209</v>
      </c>
      <c r="E41" s="1">
        <f t="shared" si="5"/>
        <v>0.125</v>
      </c>
      <c r="F41" s="1" t="s">
        <v>301</v>
      </c>
      <c r="G41" s="1" t="s">
        <v>302</v>
      </c>
      <c r="H41" s="2">
        <f t="shared" si="4"/>
        <v>0.058823529411764705</v>
      </c>
      <c r="I41" s="9" t="s">
        <v>303</v>
      </c>
      <c r="J41" s="9" t="s">
        <v>304</v>
      </c>
      <c r="K41" s="9" t="s">
        <v>305</v>
      </c>
      <c r="L41" s="9" t="s">
        <v>306</v>
      </c>
      <c r="M41" s="9" t="s">
        <v>307</v>
      </c>
      <c r="N41" s="1">
        <v>1</v>
      </c>
      <c r="O41" s="1" t="s">
        <v>26</v>
      </c>
    </row>
    <row r="42" ht="29" customHeight="1" spans="1:15" x14ac:dyDescent="0.25">
      <c r="A42" s="1" t="s">
        <v>15</v>
      </c>
      <c r="B42" s="1" t="s">
        <v>16</v>
      </c>
      <c r="C42" s="1" t="s">
        <v>208</v>
      </c>
      <c r="D42" s="1" t="s">
        <v>209</v>
      </c>
      <c r="E42" s="1">
        <f t="shared" si="5"/>
        <v>0.125</v>
      </c>
      <c r="F42" s="1" t="s">
        <v>308</v>
      </c>
      <c r="G42" s="1" t="s">
        <v>309</v>
      </c>
      <c r="H42" s="2">
        <f t="shared" si="4"/>
        <v>0.058823529411764705</v>
      </c>
      <c r="I42" s="9" t="s">
        <v>310</v>
      </c>
      <c r="J42" s="9" t="s">
        <v>311</v>
      </c>
      <c r="K42" s="9" t="s">
        <v>312</v>
      </c>
      <c r="L42" s="9" t="s">
        <v>313</v>
      </c>
      <c r="M42" s="9" t="s">
        <v>314</v>
      </c>
      <c r="N42" s="1">
        <v>1</v>
      </c>
      <c r="O42" s="1" t="s">
        <v>26</v>
      </c>
    </row>
    <row r="43" ht="43.5" customHeight="1" spans="1:15" x14ac:dyDescent="0.25">
      <c r="A43" s="1" t="s">
        <v>15</v>
      </c>
      <c r="B43" s="1" t="s">
        <v>16</v>
      </c>
      <c r="C43" s="1" t="s">
        <v>208</v>
      </c>
      <c r="D43" s="1" t="s">
        <v>209</v>
      </c>
      <c r="E43" s="1">
        <f t="shared" si="5"/>
        <v>0.125</v>
      </c>
      <c r="F43" s="1" t="s">
        <v>315</v>
      </c>
      <c r="G43" s="1" t="s">
        <v>316</v>
      </c>
      <c r="H43" s="2">
        <f t="shared" si="4"/>
        <v>0.058823529411764705</v>
      </c>
      <c r="I43" s="9" t="s">
        <v>317</v>
      </c>
      <c r="J43" s="9" t="s">
        <v>318</v>
      </c>
      <c r="K43" s="9" t="s">
        <v>319</v>
      </c>
      <c r="L43" s="9" t="s">
        <v>320</v>
      </c>
      <c r="M43" s="9" t="s">
        <v>321</v>
      </c>
      <c r="N43" s="1">
        <v>1</v>
      </c>
      <c r="O43" s="1" t="s">
        <v>26</v>
      </c>
    </row>
    <row r="44" ht="43.5" customHeight="1" spans="1:15" x14ac:dyDescent="0.25">
      <c r="A44" s="1" t="s">
        <v>15</v>
      </c>
      <c r="B44" s="1" t="s">
        <v>16</v>
      </c>
      <c r="C44" s="1" t="s">
        <v>208</v>
      </c>
      <c r="D44" s="1" t="s">
        <v>209</v>
      </c>
      <c r="E44" s="1">
        <f t="shared" si="5"/>
        <v>0.125</v>
      </c>
      <c r="F44" s="1" t="s">
        <v>322</v>
      </c>
      <c r="G44" s="1" t="s">
        <v>323</v>
      </c>
      <c r="H44" s="2">
        <f t="shared" si="4"/>
        <v>0.058823529411764705</v>
      </c>
      <c r="I44" s="9" t="s">
        <v>324</v>
      </c>
      <c r="J44" s="9" t="s">
        <v>325</v>
      </c>
      <c r="K44" s="9" t="s">
        <v>326</v>
      </c>
      <c r="L44" s="9" t="s">
        <v>327</v>
      </c>
      <c r="M44" s="9" t="s">
        <v>328</v>
      </c>
      <c r="N44" s="1">
        <v>1</v>
      </c>
      <c r="O44" s="1" t="s">
        <v>26</v>
      </c>
    </row>
    <row r="45" ht="43.5" customHeight="1" spans="1:15" x14ac:dyDescent="0.25">
      <c r="A45" s="6" t="s">
        <v>15</v>
      </c>
      <c r="B45" s="6" t="s">
        <v>16</v>
      </c>
      <c r="C45" s="6" t="s">
        <v>329</v>
      </c>
      <c r="D45" s="6" t="s">
        <v>330</v>
      </c>
      <c r="E45" s="7">
        <f t="shared" si="5"/>
        <v>0.125</v>
      </c>
      <c r="F45" s="6" t="s">
        <v>331</v>
      </c>
      <c r="G45" s="6" t="s">
        <v>332</v>
      </c>
      <c r="H45" s="7">
        <f t="shared" ref="H45:H51" si="6">1/7</f>
        <v>0.14285714285714285</v>
      </c>
      <c r="I45" s="8" t="s">
        <v>333</v>
      </c>
      <c r="J45" s="8" t="s">
        <v>334</v>
      </c>
      <c r="K45" s="8" t="s">
        <v>335</v>
      </c>
      <c r="L45" s="8" t="s">
        <v>336</v>
      </c>
      <c r="M45" s="8" t="s">
        <v>337</v>
      </c>
      <c r="N45" s="6">
        <v>1</v>
      </c>
      <c r="O45" s="6" t="s">
        <v>26</v>
      </c>
    </row>
    <row r="46" ht="62.5" customHeight="1" spans="1:15" x14ac:dyDescent="0.25">
      <c r="A46" s="6" t="s">
        <v>15</v>
      </c>
      <c r="B46" s="6" t="s">
        <v>16</v>
      </c>
      <c r="C46" s="6" t="s">
        <v>329</v>
      </c>
      <c r="D46" s="6" t="s">
        <v>330</v>
      </c>
      <c r="E46" s="7">
        <f t="shared" si="5"/>
        <v>0.125</v>
      </c>
      <c r="F46" s="6" t="s">
        <v>338</v>
      </c>
      <c r="G46" s="6" t="s">
        <v>339</v>
      </c>
      <c r="H46" s="7">
        <f t="shared" si="6"/>
        <v>0.14285714285714285</v>
      </c>
      <c r="I46" s="8" t="s">
        <v>340</v>
      </c>
      <c r="J46" s="8" t="s">
        <v>341</v>
      </c>
      <c r="K46" s="8" t="s">
        <v>342</v>
      </c>
      <c r="L46" s="8" t="s">
        <v>343</v>
      </c>
      <c r="M46" s="8" t="s">
        <v>344</v>
      </c>
      <c r="N46" s="6">
        <v>1</v>
      </c>
      <c r="O46" s="6" t="s">
        <v>26</v>
      </c>
    </row>
    <row r="47" ht="62.5" customHeight="1" spans="1:15" x14ac:dyDescent="0.25">
      <c r="A47" s="6" t="s">
        <v>15</v>
      </c>
      <c r="B47" s="6" t="s">
        <v>16</v>
      </c>
      <c r="C47" s="6" t="s">
        <v>329</v>
      </c>
      <c r="D47" s="6" t="s">
        <v>330</v>
      </c>
      <c r="E47" s="7">
        <f t="shared" si="5"/>
        <v>0.125</v>
      </c>
      <c r="F47" s="6" t="s">
        <v>345</v>
      </c>
      <c r="G47" s="6" t="s">
        <v>346</v>
      </c>
      <c r="H47" s="7">
        <f t="shared" si="6"/>
        <v>0.14285714285714285</v>
      </c>
      <c r="I47" s="8" t="s">
        <v>347</v>
      </c>
      <c r="J47" s="8" t="s">
        <v>348</v>
      </c>
      <c r="K47" s="8" t="s">
        <v>349</v>
      </c>
      <c r="L47" s="8" t="s">
        <v>350</v>
      </c>
      <c r="M47" s="8" t="s">
        <v>351</v>
      </c>
      <c r="N47" s="6">
        <v>1</v>
      </c>
      <c r="O47" s="6" t="s">
        <v>26</v>
      </c>
    </row>
    <row r="48" ht="37.5" customHeight="1" spans="1:15" x14ac:dyDescent="0.25">
      <c r="A48" s="1" t="s">
        <v>15</v>
      </c>
      <c r="B48" s="1" t="s">
        <v>16</v>
      </c>
      <c r="C48" s="1" t="s">
        <v>329</v>
      </c>
      <c r="D48" s="1" t="s">
        <v>330</v>
      </c>
      <c r="E48" s="1">
        <f t="shared" si="5"/>
        <v>0.125</v>
      </c>
      <c r="F48" s="1" t="s">
        <v>352</v>
      </c>
      <c r="G48" s="1" t="s">
        <v>353</v>
      </c>
      <c r="H48" s="2">
        <f t="shared" si="6"/>
        <v>0.14285714285714285</v>
      </c>
      <c r="I48" s="9" t="s">
        <v>354</v>
      </c>
      <c r="J48" s="9" t="s">
        <v>355</v>
      </c>
      <c r="K48" s="9" t="s">
        <v>356</v>
      </c>
      <c r="L48" s="9" t="s">
        <v>357</v>
      </c>
      <c r="M48" s="9" t="s">
        <v>358</v>
      </c>
      <c r="N48" s="1">
        <v>1</v>
      </c>
      <c r="O48" s="1" t="s">
        <v>26</v>
      </c>
    </row>
    <row r="49" ht="116" customHeight="1" spans="1:15" x14ac:dyDescent="0.25">
      <c r="A49" s="1" t="s">
        <v>15</v>
      </c>
      <c r="B49" s="1" t="s">
        <v>16</v>
      </c>
      <c r="C49" s="1" t="s">
        <v>329</v>
      </c>
      <c r="D49" s="1" t="s">
        <v>330</v>
      </c>
      <c r="E49" s="1">
        <f t="shared" si="5"/>
        <v>0.125</v>
      </c>
      <c r="F49" s="1" t="s">
        <v>359</v>
      </c>
      <c r="G49" s="1" t="s">
        <v>360</v>
      </c>
      <c r="H49" s="2">
        <f t="shared" si="6"/>
        <v>0.14285714285714285</v>
      </c>
      <c r="I49" s="9" t="s">
        <v>361</v>
      </c>
      <c r="J49" s="9" t="s">
        <v>362</v>
      </c>
      <c r="K49" s="9" t="s">
        <v>363</v>
      </c>
      <c r="L49" s="9" t="s">
        <v>364</v>
      </c>
      <c r="M49" s="9" t="s">
        <v>365</v>
      </c>
      <c r="N49" s="1">
        <v>1</v>
      </c>
      <c r="O49" s="1" t="s">
        <v>26</v>
      </c>
    </row>
    <row r="50" ht="58" customHeight="1" spans="1:15" x14ac:dyDescent="0.25">
      <c r="A50" s="1" t="s">
        <v>15</v>
      </c>
      <c r="B50" s="1" t="s">
        <v>16</v>
      </c>
      <c r="C50" s="1" t="s">
        <v>329</v>
      </c>
      <c r="D50" s="1" t="s">
        <v>330</v>
      </c>
      <c r="E50" s="1">
        <f t="shared" si="5"/>
        <v>0.125</v>
      </c>
      <c r="F50" s="1" t="s">
        <v>366</v>
      </c>
      <c r="G50" s="1" t="s">
        <v>367</v>
      </c>
      <c r="H50" s="2">
        <f t="shared" si="6"/>
        <v>0.14285714285714285</v>
      </c>
      <c r="I50" s="9" t="s">
        <v>368</v>
      </c>
      <c r="J50" s="9" t="s">
        <v>369</v>
      </c>
      <c r="K50" s="9" t="s">
        <v>370</v>
      </c>
      <c r="L50" s="9" t="s">
        <v>371</v>
      </c>
      <c r="M50" s="9" t="s">
        <v>372</v>
      </c>
      <c r="N50" s="1">
        <v>1</v>
      </c>
      <c r="O50" s="1" t="s">
        <v>26</v>
      </c>
    </row>
    <row r="51" ht="58" customHeight="1" spans="1:15" x14ac:dyDescent="0.25">
      <c r="A51" s="1" t="s">
        <v>15</v>
      </c>
      <c r="B51" s="1" t="s">
        <v>16</v>
      </c>
      <c r="C51" s="1" t="s">
        <v>329</v>
      </c>
      <c r="D51" s="1" t="s">
        <v>330</v>
      </c>
      <c r="E51" s="1">
        <f t="shared" si="5"/>
        <v>0.125</v>
      </c>
      <c r="F51" s="1" t="s">
        <v>373</v>
      </c>
      <c r="G51" s="1" t="s">
        <v>374</v>
      </c>
      <c r="H51" s="2">
        <f t="shared" si="6"/>
        <v>0.14285714285714285</v>
      </c>
      <c r="I51" s="9" t="s">
        <v>375</v>
      </c>
      <c r="J51" s="9" t="s">
        <v>376</v>
      </c>
      <c r="K51" s="9" t="s">
        <v>377</v>
      </c>
      <c r="L51" s="9" t="s">
        <v>378</v>
      </c>
      <c r="M51" s="9" t="s">
        <v>379</v>
      </c>
      <c r="N51" s="1">
        <v>1</v>
      </c>
      <c r="O51" s="1" t="s">
        <v>26</v>
      </c>
    </row>
    <row r="52" ht="43.5" customHeight="1" spans="1:15" x14ac:dyDescent="0.25">
      <c r="A52" s="6" t="s">
        <v>15</v>
      </c>
      <c r="B52" s="6" t="s">
        <v>16</v>
      </c>
      <c r="C52" s="6" t="s">
        <v>380</v>
      </c>
      <c r="D52" s="6" t="s">
        <v>381</v>
      </c>
      <c r="E52" s="7">
        <f t="shared" si="5"/>
        <v>0.125</v>
      </c>
      <c r="F52" s="6" t="s">
        <v>382</v>
      </c>
      <c r="G52" s="6" t="s">
        <v>383</v>
      </c>
      <c r="H52" s="7">
        <f>1/4</f>
        <v>0.25</v>
      </c>
      <c r="I52" s="8" t="s">
        <v>384</v>
      </c>
      <c r="J52" s="8" t="s">
        <v>385</v>
      </c>
      <c r="K52" s="8" t="s">
        <v>386</v>
      </c>
      <c r="L52" s="8" t="s">
        <v>387</v>
      </c>
      <c r="M52" s="8" t="s">
        <v>388</v>
      </c>
      <c r="N52" s="6">
        <v>1</v>
      </c>
      <c r="O52" s="6" t="s">
        <v>26</v>
      </c>
    </row>
    <row r="53" ht="37.5" customHeight="1" spans="1:15" x14ac:dyDescent="0.25">
      <c r="A53" s="6" t="s">
        <v>15</v>
      </c>
      <c r="B53" s="6" t="s">
        <v>16</v>
      </c>
      <c r="C53" s="6" t="s">
        <v>380</v>
      </c>
      <c r="D53" s="6" t="s">
        <v>381</v>
      </c>
      <c r="E53" s="7">
        <f t="shared" si="5"/>
        <v>0.125</v>
      </c>
      <c r="F53" s="6" t="s">
        <v>389</v>
      </c>
      <c r="G53" s="6" t="s">
        <v>390</v>
      </c>
      <c r="H53" s="7">
        <f>1/4</f>
        <v>0.25</v>
      </c>
      <c r="I53" s="8" t="s">
        <v>391</v>
      </c>
      <c r="J53" s="8" t="s">
        <v>392</v>
      </c>
      <c r="K53" s="8" t="s">
        <v>393</v>
      </c>
      <c r="L53" s="8" t="s">
        <v>394</v>
      </c>
      <c r="M53" s="8" t="s">
        <v>395</v>
      </c>
      <c r="N53" s="6">
        <v>1</v>
      </c>
      <c r="O53" s="6" t="s">
        <v>26</v>
      </c>
    </row>
    <row r="54" ht="50" customHeight="1" spans="1:15" x14ac:dyDescent="0.25">
      <c r="A54" s="6" t="s">
        <v>15</v>
      </c>
      <c r="B54" s="6" t="s">
        <v>16</v>
      </c>
      <c r="C54" s="6" t="s">
        <v>380</v>
      </c>
      <c r="D54" s="6" t="s">
        <v>381</v>
      </c>
      <c r="E54" s="7">
        <f t="shared" si="5"/>
        <v>0.125</v>
      </c>
      <c r="F54" s="6" t="s">
        <v>396</v>
      </c>
      <c r="G54" s="6" t="s">
        <v>397</v>
      </c>
      <c r="H54" s="7">
        <f>1/4</f>
        <v>0.25</v>
      </c>
      <c r="I54" s="8" t="s">
        <v>398</v>
      </c>
      <c r="J54" s="8" t="s">
        <v>399</v>
      </c>
      <c r="K54" s="8" t="s">
        <v>400</v>
      </c>
      <c r="L54" s="8" t="s">
        <v>401</v>
      </c>
      <c r="M54" s="8" t="s">
        <v>402</v>
      </c>
      <c r="N54" s="6">
        <v>1</v>
      </c>
      <c r="O54" s="6" t="s">
        <v>26</v>
      </c>
    </row>
    <row r="55" ht="37.5" customHeight="1" spans="1:15" x14ac:dyDescent="0.25">
      <c r="A55" s="6" t="s">
        <v>15</v>
      </c>
      <c r="B55" s="6" t="s">
        <v>16</v>
      </c>
      <c r="C55" s="6" t="s">
        <v>380</v>
      </c>
      <c r="D55" s="6" t="s">
        <v>381</v>
      </c>
      <c r="E55" s="7">
        <f t="shared" si="5"/>
        <v>0.125</v>
      </c>
      <c r="F55" s="6" t="s">
        <v>403</v>
      </c>
      <c r="G55" s="6" t="s">
        <v>404</v>
      </c>
      <c r="H55" s="7">
        <f>1/4</f>
        <v>0.25</v>
      </c>
      <c r="I55" s="8" t="s">
        <v>405</v>
      </c>
      <c r="J55" s="8" t="s">
        <v>406</v>
      </c>
      <c r="K55" s="8" t="s">
        <v>407</v>
      </c>
      <c r="L55" s="8" t="s">
        <v>408</v>
      </c>
      <c r="M55" s="8" t="s">
        <v>409</v>
      </c>
      <c r="N55" s="6">
        <v>1</v>
      </c>
      <c r="O55" s="6" t="s">
        <v>26</v>
      </c>
    </row>
    <row r="56" ht="50" customHeight="1" spans="1:15" x14ac:dyDescent="0.25">
      <c r="A56" s="1" t="s">
        <v>15</v>
      </c>
      <c r="B56" s="1" t="s">
        <v>16</v>
      </c>
      <c r="C56" s="1" t="s">
        <v>410</v>
      </c>
      <c r="D56" s="1" t="s">
        <v>411</v>
      </c>
      <c r="E56" s="1">
        <f t="shared" si="5"/>
        <v>0.125</v>
      </c>
      <c r="F56" s="1" t="s">
        <v>412</v>
      </c>
      <c r="G56" s="1" t="s">
        <v>413</v>
      </c>
      <c r="H56" s="2">
        <f t="shared" ref="H56:H64" si="7">1/9</f>
        <v>0.1111111111111111</v>
      </c>
      <c r="I56" s="9" t="s">
        <v>414</v>
      </c>
      <c r="J56" s="9" t="s">
        <v>415</v>
      </c>
      <c r="K56" s="9" t="s">
        <v>416</v>
      </c>
      <c r="L56" s="9" t="s">
        <v>417</v>
      </c>
      <c r="M56" s="9" t="s">
        <v>418</v>
      </c>
      <c r="N56" s="1">
        <v>1</v>
      </c>
      <c r="O56" s="1" t="s">
        <v>26</v>
      </c>
    </row>
    <row r="57" ht="130.5" customHeight="1" spans="1:15" x14ac:dyDescent="0.25">
      <c r="A57" s="1" t="s">
        <v>15</v>
      </c>
      <c r="B57" s="1" t="s">
        <v>16</v>
      </c>
      <c r="C57" s="1" t="s">
        <v>410</v>
      </c>
      <c r="D57" s="1" t="s">
        <v>411</v>
      </c>
      <c r="E57" s="1">
        <f t="shared" si="5"/>
        <v>0.125</v>
      </c>
      <c r="F57" s="1" t="s">
        <v>419</v>
      </c>
      <c r="G57" s="1" t="s">
        <v>420</v>
      </c>
      <c r="H57" s="2">
        <f t="shared" si="7"/>
        <v>0.1111111111111111</v>
      </c>
      <c r="I57" s="9" t="s">
        <v>421</v>
      </c>
      <c r="J57" s="9" t="s">
        <v>422</v>
      </c>
      <c r="K57" s="9" t="s">
        <v>423</v>
      </c>
      <c r="L57" s="9" t="s">
        <v>424</v>
      </c>
      <c r="M57" s="9" t="s">
        <v>425</v>
      </c>
      <c r="N57" s="1">
        <v>1</v>
      </c>
      <c r="O57" s="1" t="s">
        <v>26</v>
      </c>
    </row>
    <row r="58" ht="116" customHeight="1" spans="1:15" x14ac:dyDescent="0.25">
      <c r="A58" s="1" t="s">
        <v>15</v>
      </c>
      <c r="B58" s="1" t="s">
        <v>16</v>
      </c>
      <c r="C58" s="1" t="s">
        <v>410</v>
      </c>
      <c r="D58" s="1" t="s">
        <v>411</v>
      </c>
      <c r="E58" s="1">
        <f t="shared" si="5"/>
        <v>0.125</v>
      </c>
      <c r="F58" s="1" t="s">
        <v>426</v>
      </c>
      <c r="G58" s="1" t="s">
        <v>427</v>
      </c>
      <c r="H58" s="2">
        <f t="shared" si="7"/>
        <v>0.1111111111111111</v>
      </c>
      <c r="I58" s="9" t="s">
        <v>428</v>
      </c>
      <c r="J58" s="9" t="s">
        <v>429</v>
      </c>
      <c r="K58" s="9" t="s">
        <v>430</v>
      </c>
      <c r="L58" s="9" t="s">
        <v>431</v>
      </c>
      <c r="M58" s="9" t="s">
        <v>432</v>
      </c>
      <c r="N58" s="1">
        <v>1</v>
      </c>
      <c r="O58" s="1" t="s">
        <v>26</v>
      </c>
    </row>
    <row r="59" ht="29" customHeight="1" spans="1:15" x14ac:dyDescent="0.25">
      <c r="A59" s="1" t="s">
        <v>15</v>
      </c>
      <c r="B59" s="1" t="s">
        <v>16</v>
      </c>
      <c r="C59" s="1" t="s">
        <v>410</v>
      </c>
      <c r="D59" s="1" t="s">
        <v>411</v>
      </c>
      <c r="E59" s="1">
        <f t="shared" si="5"/>
        <v>0.125</v>
      </c>
      <c r="F59" s="1" t="s">
        <v>433</v>
      </c>
      <c r="G59" s="1" t="s">
        <v>434</v>
      </c>
      <c r="H59" s="2">
        <f t="shared" si="7"/>
        <v>0.1111111111111111</v>
      </c>
      <c r="I59" s="9" t="s">
        <v>435</v>
      </c>
      <c r="J59" s="9" t="s">
        <v>436</v>
      </c>
      <c r="K59" s="9" t="s">
        <v>437</v>
      </c>
      <c r="L59" s="9" t="s">
        <v>438</v>
      </c>
      <c r="M59" s="9" t="s">
        <v>439</v>
      </c>
      <c r="N59" s="1">
        <v>1</v>
      </c>
      <c r="O59" s="1" t="s">
        <v>26</v>
      </c>
    </row>
    <row r="60" ht="43.5" customHeight="1" spans="1:15" x14ac:dyDescent="0.25">
      <c r="A60" s="1" t="s">
        <v>15</v>
      </c>
      <c r="B60" s="1" t="s">
        <v>16</v>
      </c>
      <c r="C60" s="1" t="s">
        <v>410</v>
      </c>
      <c r="D60" s="1" t="s">
        <v>411</v>
      </c>
      <c r="E60" s="1">
        <f t="shared" si="5"/>
        <v>0.125</v>
      </c>
      <c r="F60" s="1" t="s">
        <v>440</v>
      </c>
      <c r="G60" s="1" t="s">
        <v>441</v>
      </c>
      <c r="H60" s="2">
        <f t="shared" si="7"/>
        <v>0.1111111111111111</v>
      </c>
      <c r="I60" s="9" t="s">
        <v>442</v>
      </c>
      <c r="J60" s="9" t="s">
        <v>443</v>
      </c>
      <c r="K60" s="9" t="s">
        <v>444</v>
      </c>
      <c r="L60" s="9" t="s">
        <v>445</v>
      </c>
      <c r="M60" s="9" t="s">
        <v>446</v>
      </c>
      <c r="N60" s="1">
        <v>1</v>
      </c>
      <c r="O60" s="1" t="s">
        <v>26</v>
      </c>
    </row>
    <row r="61" ht="43.5" customHeight="1" spans="1:15" x14ac:dyDescent="0.25">
      <c r="A61" s="1" t="s">
        <v>15</v>
      </c>
      <c r="B61" s="1" t="s">
        <v>16</v>
      </c>
      <c r="C61" s="1" t="s">
        <v>410</v>
      </c>
      <c r="D61" s="1" t="s">
        <v>411</v>
      </c>
      <c r="E61" s="1">
        <f t="shared" si="5"/>
        <v>0.125</v>
      </c>
      <c r="F61" s="1" t="s">
        <v>447</v>
      </c>
      <c r="G61" s="1" t="s">
        <v>448</v>
      </c>
      <c r="H61" s="2">
        <f t="shared" si="7"/>
        <v>0.1111111111111111</v>
      </c>
      <c r="I61" s="9" t="s">
        <v>449</v>
      </c>
      <c r="J61" s="9" t="s">
        <v>450</v>
      </c>
      <c r="K61" s="9" t="s">
        <v>451</v>
      </c>
      <c r="L61" s="9" t="s">
        <v>452</v>
      </c>
      <c r="M61" s="9" t="s">
        <v>453</v>
      </c>
      <c r="N61" s="1">
        <v>1</v>
      </c>
      <c r="O61" s="1" t="s">
        <v>26</v>
      </c>
    </row>
    <row r="62" ht="29" customHeight="1" spans="1:15" x14ac:dyDescent="0.25">
      <c r="A62" s="1" t="s">
        <v>15</v>
      </c>
      <c r="B62" s="1" t="s">
        <v>16</v>
      </c>
      <c r="C62" s="1" t="s">
        <v>410</v>
      </c>
      <c r="D62" s="1" t="s">
        <v>411</v>
      </c>
      <c r="E62" s="1">
        <f t="shared" si="5"/>
        <v>0.125</v>
      </c>
      <c r="F62" s="1" t="s">
        <v>454</v>
      </c>
      <c r="G62" s="1" t="s">
        <v>455</v>
      </c>
      <c r="H62" s="2">
        <f t="shared" si="7"/>
        <v>0.1111111111111111</v>
      </c>
      <c r="I62" s="9" t="s">
        <v>456</v>
      </c>
      <c r="J62" s="9" t="s">
        <v>457</v>
      </c>
      <c r="K62" s="9" t="s">
        <v>458</v>
      </c>
      <c r="L62" s="9" t="s">
        <v>459</v>
      </c>
      <c r="M62" s="9" t="s">
        <v>460</v>
      </c>
      <c r="N62" s="1">
        <v>1</v>
      </c>
      <c r="O62" s="1" t="s">
        <v>26</v>
      </c>
    </row>
    <row r="63" ht="29" customHeight="1" spans="1:15" x14ac:dyDescent="0.25">
      <c r="A63" s="1" t="s">
        <v>15</v>
      </c>
      <c r="B63" s="1" t="s">
        <v>16</v>
      </c>
      <c r="C63" s="1" t="s">
        <v>410</v>
      </c>
      <c r="D63" s="1" t="s">
        <v>411</v>
      </c>
      <c r="E63" s="1">
        <f t="shared" si="5"/>
        <v>0.125</v>
      </c>
      <c r="F63" s="1" t="s">
        <v>461</v>
      </c>
      <c r="G63" s="1" t="s">
        <v>462</v>
      </c>
      <c r="H63" s="2">
        <f t="shared" si="7"/>
        <v>0.1111111111111111</v>
      </c>
      <c r="I63" s="9" t="s">
        <v>463</v>
      </c>
      <c r="J63" s="9" t="s">
        <v>464</v>
      </c>
      <c r="K63" s="9" t="s">
        <v>465</v>
      </c>
      <c r="L63" s="9" t="s">
        <v>466</v>
      </c>
      <c r="M63" s="9" t="s">
        <v>467</v>
      </c>
      <c r="N63" s="1">
        <v>1</v>
      </c>
      <c r="O63" s="1" t="s">
        <v>26</v>
      </c>
    </row>
    <row r="64" ht="29" customHeight="1" spans="1:15" x14ac:dyDescent="0.25">
      <c r="A64" s="1" t="s">
        <v>15</v>
      </c>
      <c r="B64" s="1" t="s">
        <v>16</v>
      </c>
      <c r="C64" s="1" t="s">
        <v>410</v>
      </c>
      <c r="D64" s="1" t="s">
        <v>411</v>
      </c>
      <c r="E64" s="1">
        <f t="shared" si="5"/>
        <v>0.125</v>
      </c>
      <c r="F64" s="1" t="s">
        <v>468</v>
      </c>
      <c r="G64" s="1" t="s">
        <v>469</v>
      </c>
      <c r="H64" s="2">
        <f t="shared" si="7"/>
        <v>0.1111111111111111</v>
      </c>
      <c r="I64" s="9" t="s">
        <v>470</v>
      </c>
      <c r="J64" s="9" t="s">
        <v>471</v>
      </c>
      <c r="K64" s="9" t="s">
        <v>472</v>
      </c>
      <c r="L64" s="9" t="s">
        <v>473</v>
      </c>
      <c r="M64" s="9" t="s">
        <v>474</v>
      </c>
      <c r="N64" s="1">
        <v>1</v>
      </c>
      <c r="O64" s="1" t="s">
        <v>26</v>
      </c>
    </row>
    <row r="65" ht="29" customHeight="1" x14ac:dyDescent="0.25"/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"/>
  <sheetViews>
    <sheetView workbookViewId="0" zoomScale="100" zoomScaleNormal="100">
      <pane ySplit="1" topLeftCell="A28" activePane="bottomLeft" state="frozen"/>
      <selection pane="bottomLeft"/>
    </sheetView>
  </sheetViews>
  <sheetFormatPr defaultRowHeight="14.5" outlineLevelRow="0" outlineLevelCol="0" x14ac:dyDescent="0.35" customHeight="1"/>
  <cols>
    <col min="1" max="1" width="10" customWidth="1"/>
    <col min="2" max="2" width="12" customWidth="1"/>
    <col min="3" max="3" width="42" customWidth="1"/>
    <col min="4" max="4" width="12" customWidth="1"/>
    <col min="5" max="5" width="16" customWidth="1"/>
    <col min="6" max="6" width="90" customWidth="1"/>
  </cols>
  <sheetData>
    <row r="1" spans="1:6" x14ac:dyDescent="0.25">
      <c r="A1" t="s">
        <v>0</v>
      </c>
      <c r="B1" t="s">
        <v>5</v>
      </c>
      <c r="C1" t="s">
        <v>6</v>
      </c>
      <c r="D1" t="s">
        <v>475</v>
      </c>
      <c r="E1" t="s">
        <v>476</v>
      </c>
      <c r="F1" t="s">
        <v>477</v>
      </c>
    </row>
    <row r="2" ht="29" customHeight="1" spans="1:6" x14ac:dyDescent="0.25">
      <c r="A2" t="s">
        <v>15</v>
      </c>
      <c r="B2" t="s">
        <v>19</v>
      </c>
      <c r="C2" t="s">
        <v>20</v>
      </c>
      <c r="D2">
        <v>2</v>
      </c>
      <c r="E2" t="s">
        <v>478</v>
      </c>
      <c r="F2" s="9" t="s">
        <v>479</v>
      </c>
    </row>
    <row r="3" ht="43.5" customHeight="1" spans="1:6" x14ac:dyDescent="0.25">
      <c r="A3" t="s">
        <v>15</v>
      </c>
      <c r="B3" t="s">
        <v>19</v>
      </c>
      <c r="C3" t="s">
        <v>20</v>
      </c>
      <c r="D3">
        <v>3</v>
      </c>
      <c r="E3" t="s">
        <v>480</v>
      </c>
      <c r="F3" s="9" t="s">
        <v>481</v>
      </c>
    </row>
    <row r="4" ht="58" customHeight="1" spans="1:6" x14ac:dyDescent="0.25">
      <c r="A4" t="s">
        <v>15</v>
      </c>
      <c r="B4" t="s">
        <v>19</v>
      </c>
      <c r="C4" t="s">
        <v>20</v>
      </c>
      <c r="D4">
        <v>4</v>
      </c>
      <c r="E4" t="s">
        <v>482</v>
      </c>
      <c r="F4" s="9" t="s">
        <v>483</v>
      </c>
    </row>
    <row r="5" ht="58" customHeight="1" spans="1:6" x14ac:dyDescent="0.25">
      <c r="A5" t="s">
        <v>15</v>
      </c>
      <c r="B5" t="s">
        <v>19</v>
      </c>
      <c r="C5" t="s">
        <v>20</v>
      </c>
      <c r="D5">
        <v>5</v>
      </c>
      <c r="E5" t="s">
        <v>484</v>
      </c>
      <c r="F5" s="9" t="s">
        <v>485</v>
      </c>
    </row>
    <row r="6" ht="43.5" customHeight="1" spans="1:6" x14ac:dyDescent="0.25">
      <c r="A6" t="s">
        <v>15</v>
      </c>
      <c r="B6" t="s">
        <v>27</v>
      </c>
      <c r="C6" t="s">
        <v>28</v>
      </c>
      <c r="D6">
        <v>2</v>
      </c>
      <c r="E6" t="s">
        <v>478</v>
      </c>
      <c r="F6" s="9" t="s">
        <v>486</v>
      </c>
    </row>
    <row r="7" ht="43.5" customHeight="1" spans="1:6" x14ac:dyDescent="0.25">
      <c r="A7" t="s">
        <v>15</v>
      </c>
      <c r="B7" t="s">
        <v>27</v>
      </c>
      <c r="C7" t="s">
        <v>28</v>
      </c>
      <c r="D7">
        <v>3</v>
      </c>
      <c r="E7" t="s">
        <v>480</v>
      </c>
      <c r="F7" s="9" t="s">
        <v>487</v>
      </c>
    </row>
    <row r="8" ht="58" customHeight="1" spans="1:6" x14ac:dyDescent="0.25">
      <c r="A8" t="s">
        <v>15</v>
      </c>
      <c r="B8" t="s">
        <v>27</v>
      </c>
      <c r="C8" t="s">
        <v>28</v>
      </c>
      <c r="D8">
        <v>4</v>
      </c>
      <c r="E8" t="s">
        <v>482</v>
      </c>
      <c r="F8" s="9" t="s">
        <v>488</v>
      </c>
    </row>
    <row r="9" ht="43.5" customHeight="1" spans="1:6" x14ac:dyDescent="0.25">
      <c r="A9" t="s">
        <v>15</v>
      </c>
      <c r="B9" t="s">
        <v>27</v>
      </c>
      <c r="C9" t="s">
        <v>28</v>
      </c>
      <c r="D9">
        <v>5</v>
      </c>
      <c r="E9" t="s">
        <v>484</v>
      </c>
      <c r="F9" s="9" t="s">
        <v>489</v>
      </c>
    </row>
    <row r="10" ht="29" customHeight="1" spans="1:6" x14ac:dyDescent="0.25">
      <c r="A10" t="s">
        <v>15</v>
      </c>
      <c r="B10" t="s">
        <v>34</v>
      </c>
      <c r="C10" t="s">
        <v>35</v>
      </c>
      <c r="D10">
        <v>2</v>
      </c>
      <c r="E10" t="s">
        <v>478</v>
      </c>
      <c r="F10" s="9" t="s">
        <v>490</v>
      </c>
    </row>
    <row r="11" ht="29" customHeight="1" spans="1:6" x14ac:dyDescent="0.25">
      <c r="A11" t="s">
        <v>15</v>
      </c>
      <c r="B11" t="s">
        <v>34</v>
      </c>
      <c r="C11" t="s">
        <v>35</v>
      </c>
      <c r="D11">
        <v>3</v>
      </c>
      <c r="E11" t="s">
        <v>480</v>
      </c>
      <c r="F11" s="9" t="s">
        <v>491</v>
      </c>
    </row>
    <row r="12" ht="43.5" customHeight="1" spans="1:6" x14ac:dyDescent="0.25">
      <c r="A12" t="s">
        <v>15</v>
      </c>
      <c r="B12" t="s">
        <v>34</v>
      </c>
      <c r="C12" t="s">
        <v>35</v>
      </c>
      <c r="D12">
        <v>4</v>
      </c>
      <c r="E12" t="s">
        <v>482</v>
      </c>
      <c r="F12" s="9" t="s">
        <v>492</v>
      </c>
    </row>
    <row r="13" ht="43.5" customHeight="1" spans="1:6" x14ac:dyDescent="0.25">
      <c r="A13" t="s">
        <v>15</v>
      </c>
      <c r="B13" t="s">
        <v>34</v>
      </c>
      <c r="C13" t="s">
        <v>35</v>
      </c>
      <c r="D13">
        <v>5</v>
      </c>
      <c r="E13" t="s">
        <v>484</v>
      </c>
      <c r="F13" s="9" t="s">
        <v>493</v>
      </c>
    </row>
    <row r="14" ht="29" customHeight="1" spans="1:6" x14ac:dyDescent="0.25">
      <c r="A14" t="s">
        <v>15</v>
      </c>
      <c r="B14" t="s">
        <v>41</v>
      </c>
      <c r="C14" t="s">
        <v>42</v>
      </c>
      <c r="D14">
        <v>2</v>
      </c>
      <c r="E14" t="s">
        <v>478</v>
      </c>
      <c r="F14" s="9" t="s">
        <v>494</v>
      </c>
    </row>
    <row r="15" spans="1:6" x14ac:dyDescent="0.25">
      <c r="A15" t="s">
        <v>15</v>
      </c>
      <c r="B15" t="s">
        <v>41</v>
      </c>
      <c r="C15" t="s">
        <v>42</v>
      </c>
      <c r="D15">
        <v>3</v>
      </c>
      <c r="E15" t="s">
        <v>480</v>
      </c>
      <c r="F15" s="9" t="s">
        <v>495</v>
      </c>
    </row>
    <row r="16" ht="29" customHeight="1" spans="1:6" x14ac:dyDescent="0.25">
      <c r="A16" t="s">
        <v>15</v>
      </c>
      <c r="B16" t="s">
        <v>41</v>
      </c>
      <c r="C16" t="s">
        <v>42</v>
      </c>
      <c r="D16">
        <v>4</v>
      </c>
      <c r="E16" t="s">
        <v>482</v>
      </c>
      <c r="F16" s="9" t="s">
        <v>496</v>
      </c>
    </row>
    <row r="17" ht="29" customHeight="1" spans="1:6" x14ac:dyDescent="0.25">
      <c r="A17" t="s">
        <v>15</v>
      </c>
      <c r="B17" t="s">
        <v>41</v>
      </c>
      <c r="C17" t="s">
        <v>42</v>
      </c>
      <c r="D17">
        <v>5</v>
      </c>
      <c r="E17" t="s">
        <v>484</v>
      </c>
      <c r="F17" s="9" t="s">
        <v>497</v>
      </c>
    </row>
    <row r="18" ht="29" customHeight="1" spans="1:6" x14ac:dyDescent="0.25">
      <c r="A18" t="s">
        <v>15</v>
      </c>
      <c r="B18" t="s">
        <v>48</v>
      </c>
      <c r="C18" t="s">
        <v>49</v>
      </c>
      <c r="D18">
        <v>2</v>
      </c>
      <c r="E18" t="s">
        <v>478</v>
      </c>
      <c r="F18" s="9" t="s">
        <v>498</v>
      </c>
    </row>
    <row r="19" ht="43.5" customHeight="1" spans="1:6" x14ac:dyDescent="0.25">
      <c r="A19" t="s">
        <v>15</v>
      </c>
      <c r="B19" t="s">
        <v>48</v>
      </c>
      <c r="C19" t="s">
        <v>49</v>
      </c>
      <c r="D19">
        <v>3</v>
      </c>
      <c r="E19" t="s">
        <v>480</v>
      </c>
      <c r="F19" s="9" t="s">
        <v>499</v>
      </c>
    </row>
    <row r="20" ht="43.5" customHeight="1" spans="1:6" x14ac:dyDescent="0.25">
      <c r="A20" t="s">
        <v>15</v>
      </c>
      <c r="B20" t="s">
        <v>48</v>
      </c>
      <c r="C20" t="s">
        <v>49</v>
      </c>
      <c r="D20">
        <v>4</v>
      </c>
      <c r="E20" t="s">
        <v>482</v>
      </c>
      <c r="F20" s="9" t="s">
        <v>500</v>
      </c>
    </row>
    <row r="21" ht="58" customHeight="1" spans="1:6" x14ac:dyDescent="0.25">
      <c r="A21" t="s">
        <v>15</v>
      </c>
      <c r="B21" t="s">
        <v>48</v>
      </c>
      <c r="C21" t="s">
        <v>49</v>
      </c>
      <c r="D21">
        <v>5</v>
      </c>
      <c r="E21" t="s">
        <v>484</v>
      </c>
      <c r="F21" s="9" t="s">
        <v>501</v>
      </c>
    </row>
    <row r="22" ht="43.5" customHeight="1" spans="1:6" x14ac:dyDescent="0.25">
      <c r="A22" t="s">
        <v>15</v>
      </c>
      <c r="B22" t="s">
        <v>55</v>
      </c>
      <c r="C22" t="s">
        <v>56</v>
      </c>
      <c r="D22">
        <v>2</v>
      </c>
      <c r="E22" t="s">
        <v>478</v>
      </c>
      <c r="F22" s="9" t="s">
        <v>502</v>
      </c>
    </row>
    <row r="23" ht="58" customHeight="1" spans="1:6" x14ac:dyDescent="0.25">
      <c r="A23" t="s">
        <v>15</v>
      </c>
      <c r="B23" t="s">
        <v>55</v>
      </c>
      <c r="C23" t="s">
        <v>56</v>
      </c>
      <c r="D23">
        <v>3</v>
      </c>
      <c r="E23" t="s">
        <v>480</v>
      </c>
      <c r="F23" s="9" t="s">
        <v>503</v>
      </c>
    </row>
    <row r="24" ht="43.5" customHeight="1" spans="1:6" x14ac:dyDescent="0.25">
      <c r="A24" t="s">
        <v>15</v>
      </c>
      <c r="B24" t="s">
        <v>55</v>
      </c>
      <c r="C24" t="s">
        <v>56</v>
      </c>
      <c r="D24">
        <v>4</v>
      </c>
      <c r="E24" t="s">
        <v>482</v>
      </c>
      <c r="F24" s="9" t="s">
        <v>504</v>
      </c>
    </row>
    <row r="25" ht="43.5" customHeight="1" spans="1:6" x14ac:dyDescent="0.25">
      <c r="A25" t="s">
        <v>15</v>
      </c>
      <c r="B25" t="s">
        <v>55</v>
      </c>
      <c r="C25" t="s">
        <v>56</v>
      </c>
      <c r="D25">
        <v>5</v>
      </c>
      <c r="E25" t="s">
        <v>484</v>
      </c>
      <c r="F25" s="9" t="s">
        <v>505</v>
      </c>
    </row>
    <row r="26" ht="43.5" customHeight="1" spans="1:6" x14ac:dyDescent="0.25">
      <c r="A26" t="s">
        <v>15</v>
      </c>
      <c r="B26" t="s">
        <v>62</v>
      </c>
      <c r="C26" t="s">
        <v>63</v>
      </c>
      <c r="D26">
        <v>2</v>
      </c>
      <c r="E26" t="s">
        <v>478</v>
      </c>
      <c r="F26" s="9" t="s">
        <v>506</v>
      </c>
    </row>
    <row r="27" ht="43.5" customHeight="1" spans="1:6" x14ac:dyDescent="0.25">
      <c r="A27" t="s">
        <v>15</v>
      </c>
      <c r="B27" t="s">
        <v>62</v>
      </c>
      <c r="C27" t="s">
        <v>63</v>
      </c>
      <c r="D27">
        <v>3</v>
      </c>
      <c r="E27" t="s">
        <v>480</v>
      </c>
      <c r="F27" s="9" t="s">
        <v>507</v>
      </c>
    </row>
    <row r="28" ht="58" customHeight="1" spans="1:6" x14ac:dyDescent="0.25">
      <c r="A28" t="s">
        <v>15</v>
      </c>
      <c r="B28" t="s">
        <v>62</v>
      </c>
      <c r="C28" t="s">
        <v>63</v>
      </c>
      <c r="D28">
        <v>4</v>
      </c>
      <c r="E28" t="s">
        <v>482</v>
      </c>
      <c r="F28" s="9" t="s">
        <v>508</v>
      </c>
    </row>
    <row r="29" ht="43.5" customHeight="1" spans="1:6" x14ac:dyDescent="0.25">
      <c r="A29" t="s">
        <v>15</v>
      </c>
      <c r="B29" t="s">
        <v>62</v>
      </c>
      <c r="C29" t="s">
        <v>63</v>
      </c>
      <c r="D29">
        <v>5</v>
      </c>
      <c r="E29" t="s">
        <v>484</v>
      </c>
      <c r="F29" s="9" t="s">
        <v>509</v>
      </c>
    </row>
    <row r="30" ht="58" customHeight="1" spans="1:6" x14ac:dyDescent="0.25">
      <c r="A30" t="s">
        <v>15</v>
      </c>
      <c r="B30" t="s">
        <v>69</v>
      </c>
      <c r="C30" t="s">
        <v>70</v>
      </c>
      <c r="D30">
        <v>2</v>
      </c>
      <c r="E30" t="s">
        <v>478</v>
      </c>
      <c r="F30" s="9" t="s">
        <v>510</v>
      </c>
    </row>
    <row r="31" ht="58" customHeight="1" spans="1:6" x14ac:dyDescent="0.25">
      <c r="A31" t="s">
        <v>15</v>
      </c>
      <c r="B31" t="s">
        <v>69</v>
      </c>
      <c r="C31" t="s">
        <v>70</v>
      </c>
      <c r="D31">
        <v>3</v>
      </c>
      <c r="E31" t="s">
        <v>480</v>
      </c>
      <c r="F31" s="9" t="s">
        <v>511</v>
      </c>
    </row>
    <row r="32" ht="58" customHeight="1" spans="1:6" x14ac:dyDescent="0.25">
      <c r="A32" t="s">
        <v>15</v>
      </c>
      <c r="B32" t="s">
        <v>69</v>
      </c>
      <c r="C32" t="s">
        <v>70</v>
      </c>
      <c r="D32">
        <v>4</v>
      </c>
      <c r="E32" t="s">
        <v>482</v>
      </c>
      <c r="F32" s="9" t="s">
        <v>512</v>
      </c>
    </row>
    <row r="33" ht="72.5" customHeight="1" spans="1:6" x14ac:dyDescent="0.25">
      <c r="A33" t="s">
        <v>15</v>
      </c>
      <c r="B33" t="s">
        <v>69</v>
      </c>
      <c r="C33" t="s">
        <v>70</v>
      </c>
      <c r="D33">
        <v>5</v>
      </c>
      <c r="E33" t="s">
        <v>484</v>
      </c>
      <c r="F33" s="9" t="s">
        <v>513</v>
      </c>
    </row>
    <row r="34" ht="29" customHeight="1" spans="1:6" x14ac:dyDescent="0.25">
      <c r="A34" t="s">
        <v>15</v>
      </c>
      <c r="B34" t="s">
        <v>76</v>
      </c>
      <c r="C34" t="s">
        <v>77</v>
      </c>
      <c r="D34">
        <v>2</v>
      </c>
      <c r="E34" t="s">
        <v>478</v>
      </c>
      <c r="F34" s="9" t="s">
        <v>514</v>
      </c>
    </row>
    <row r="35" spans="1:6" x14ac:dyDescent="0.25">
      <c r="A35" t="s">
        <v>15</v>
      </c>
      <c r="B35" t="s">
        <v>76</v>
      </c>
      <c r="C35" t="s">
        <v>77</v>
      </c>
      <c r="D35">
        <v>3</v>
      </c>
      <c r="E35" t="s">
        <v>480</v>
      </c>
      <c r="F35" s="9" t="s">
        <v>515</v>
      </c>
    </row>
    <row r="36" ht="29" customHeight="1" spans="1:6" x14ac:dyDescent="0.25">
      <c r="A36" t="s">
        <v>15</v>
      </c>
      <c r="B36" t="s">
        <v>76</v>
      </c>
      <c r="C36" t="s">
        <v>77</v>
      </c>
      <c r="D36">
        <v>4</v>
      </c>
      <c r="E36" t="s">
        <v>482</v>
      </c>
      <c r="F36" s="9" t="s">
        <v>516</v>
      </c>
    </row>
    <row r="37" ht="29" customHeight="1" spans="1:6" x14ac:dyDescent="0.25">
      <c r="A37" t="s">
        <v>15</v>
      </c>
      <c r="B37" t="s">
        <v>76</v>
      </c>
      <c r="C37" t="s">
        <v>77</v>
      </c>
      <c r="D37">
        <v>5</v>
      </c>
      <c r="E37" t="s">
        <v>484</v>
      </c>
      <c r="F37" s="9" t="s">
        <v>517</v>
      </c>
    </row>
    <row r="38" ht="29" customHeight="1" spans="1:6" x14ac:dyDescent="0.25">
      <c r="A38" t="s">
        <v>15</v>
      </c>
      <c r="B38" t="s">
        <v>83</v>
      </c>
      <c r="C38" t="s">
        <v>84</v>
      </c>
      <c r="D38">
        <v>2</v>
      </c>
      <c r="E38" t="s">
        <v>478</v>
      </c>
      <c r="F38" s="9" t="s">
        <v>518</v>
      </c>
    </row>
    <row r="39" spans="1:6" x14ac:dyDescent="0.25">
      <c r="A39" t="s">
        <v>15</v>
      </c>
      <c r="B39" t="s">
        <v>83</v>
      </c>
      <c r="C39" t="s">
        <v>84</v>
      </c>
      <c r="D39">
        <v>3</v>
      </c>
      <c r="E39" t="s">
        <v>480</v>
      </c>
      <c r="F39" s="9" t="s">
        <v>519</v>
      </c>
    </row>
    <row r="40" spans="1:6" x14ac:dyDescent="0.25">
      <c r="A40" t="s">
        <v>15</v>
      </c>
      <c r="B40" t="s">
        <v>83</v>
      </c>
      <c r="C40" t="s">
        <v>84</v>
      </c>
      <c r="D40">
        <v>4</v>
      </c>
      <c r="E40" t="s">
        <v>482</v>
      </c>
      <c r="F40" s="9" t="s">
        <v>520</v>
      </c>
    </row>
    <row r="41" ht="29" customHeight="1" spans="1:6" x14ac:dyDescent="0.25">
      <c r="A41" t="s">
        <v>15</v>
      </c>
      <c r="B41" t="s">
        <v>83</v>
      </c>
      <c r="C41" t="s">
        <v>84</v>
      </c>
      <c r="D41">
        <v>5</v>
      </c>
      <c r="E41" t="s">
        <v>484</v>
      </c>
      <c r="F41" s="9" t="s">
        <v>521</v>
      </c>
    </row>
    <row r="42" spans="1:6" x14ac:dyDescent="0.25">
      <c r="A42" t="s">
        <v>15</v>
      </c>
      <c r="B42" t="s">
        <v>90</v>
      </c>
      <c r="C42" t="s">
        <v>91</v>
      </c>
      <c r="D42">
        <v>2</v>
      </c>
      <c r="E42" t="s">
        <v>478</v>
      </c>
      <c r="F42" s="9" t="s">
        <v>522</v>
      </c>
    </row>
    <row r="43" spans="1:6" x14ac:dyDescent="0.25">
      <c r="A43" t="s">
        <v>15</v>
      </c>
      <c r="B43" t="s">
        <v>90</v>
      </c>
      <c r="C43" t="s">
        <v>91</v>
      </c>
      <c r="D43">
        <v>3</v>
      </c>
      <c r="E43" t="s">
        <v>480</v>
      </c>
      <c r="F43" s="9" t="s">
        <v>523</v>
      </c>
    </row>
    <row r="44" spans="1:6" x14ac:dyDescent="0.25">
      <c r="A44" t="s">
        <v>15</v>
      </c>
      <c r="B44" t="s">
        <v>90</v>
      </c>
      <c r="C44" t="s">
        <v>91</v>
      </c>
      <c r="D44">
        <v>4</v>
      </c>
      <c r="E44" t="s">
        <v>482</v>
      </c>
      <c r="F44" s="9" t="s">
        <v>524</v>
      </c>
    </row>
    <row r="45" ht="29" customHeight="1" spans="1:6" x14ac:dyDescent="0.25">
      <c r="A45" t="s">
        <v>15</v>
      </c>
      <c r="B45" t="s">
        <v>90</v>
      </c>
      <c r="C45" t="s">
        <v>91</v>
      </c>
      <c r="D45">
        <v>5</v>
      </c>
      <c r="E45" t="s">
        <v>484</v>
      </c>
      <c r="F45" s="9" t="s">
        <v>525</v>
      </c>
    </row>
    <row r="46" spans="1:6" x14ac:dyDescent="0.25">
      <c r="A46" t="s">
        <v>15</v>
      </c>
      <c r="B46" t="s">
        <v>99</v>
      </c>
      <c r="C46" t="s">
        <v>100</v>
      </c>
      <c r="D46">
        <v>2</v>
      </c>
      <c r="E46" t="s">
        <v>478</v>
      </c>
      <c r="F46" s="9" t="s">
        <v>526</v>
      </c>
    </row>
    <row r="47" ht="29" customHeight="1" spans="1:6" x14ac:dyDescent="0.25">
      <c r="A47" t="s">
        <v>15</v>
      </c>
      <c r="B47" t="s">
        <v>99</v>
      </c>
      <c r="C47" t="s">
        <v>100</v>
      </c>
      <c r="D47">
        <v>3</v>
      </c>
      <c r="E47" t="s">
        <v>480</v>
      </c>
      <c r="F47" s="9" t="s">
        <v>527</v>
      </c>
    </row>
    <row r="48" spans="1:6" x14ac:dyDescent="0.25">
      <c r="A48" t="s">
        <v>15</v>
      </c>
      <c r="B48" t="s">
        <v>99</v>
      </c>
      <c r="C48" t="s">
        <v>100</v>
      </c>
      <c r="D48">
        <v>4</v>
      </c>
      <c r="E48" t="s">
        <v>482</v>
      </c>
      <c r="F48" s="9" t="s">
        <v>528</v>
      </c>
    </row>
    <row r="49" ht="29" customHeight="1" spans="1:6" x14ac:dyDescent="0.25">
      <c r="A49" t="s">
        <v>15</v>
      </c>
      <c r="B49" t="s">
        <v>99</v>
      </c>
      <c r="C49" t="s">
        <v>100</v>
      </c>
      <c r="D49">
        <v>5</v>
      </c>
      <c r="E49" t="s">
        <v>484</v>
      </c>
      <c r="F49" s="9" t="s">
        <v>529</v>
      </c>
    </row>
    <row r="50" ht="29" customHeight="1" spans="1:6" x14ac:dyDescent="0.25">
      <c r="A50" t="s">
        <v>15</v>
      </c>
      <c r="B50" t="s">
        <v>106</v>
      </c>
      <c r="C50" t="s">
        <v>107</v>
      </c>
      <c r="D50">
        <v>2</v>
      </c>
      <c r="E50" t="s">
        <v>478</v>
      </c>
      <c r="F50" s="9" t="s">
        <v>530</v>
      </c>
    </row>
    <row r="51" ht="43.5" customHeight="1" spans="1:6" x14ac:dyDescent="0.25">
      <c r="A51" t="s">
        <v>15</v>
      </c>
      <c r="B51" t="s">
        <v>106</v>
      </c>
      <c r="C51" t="s">
        <v>107</v>
      </c>
      <c r="D51">
        <v>3</v>
      </c>
      <c r="E51" t="s">
        <v>480</v>
      </c>
      <c r="F51" s="9" t="s">
        <v>531</v>
      </c>
    </row>
    <row r="52" ht="43.5" customHeight="1" spans="1:6" x14ac:dyDescent="0.25">
      <c r="A52" t="s">
        <v>15</v>
      </c>
      <c r="B52" t="s">
        <v>106</v>
      </c>
      <c r="C52" t="s">
        <v>107</v>
      </c>
      <c r="D52">
        <v>4</v>
      </c>
      <c r="E52" t="s">
        <v>482</v>
      </c>
      <c r="F52" s="9" t="s">
        <v>532</v>
      </c>
    </row>
    <row r="53" ht="43.5" customHeight="1" spans="1:6" x14ac:dyDescent="0.25">
      <c r="A53" t="s">
        <v>15</v>
      </c>
      <c r="B53" t="s">
        <v>106</v>
      </c>
      <c r="C53" t="s">
        <v>107</v>
      </c>
      <c r="D53">
        <v>5</v>
      </c>
      <c r="E53" t="s">
        <v>484</v>
      </c>
      <c r="F53" s="9" t="s">
        <v>533</v>
      </c>
    </row>
    <row r="54" spans="1:6" x14ac:dyDescent="0.25">
      <c r="A54" t="s">
        <v>15</v>
      </c>
      <c r="B54" t="s">
        <v>113</v>
      </c>
      <c r="C54" t="s">
        <v>114</v>
      </c>
      <c r="D54">
        <v>2</v>
      </c>
      <c r="E54" t="s">
        <v>478</v>
      </c>
      <c r="F54" s="9" t="s">
        <v>534</v>
      </c>
    </row>
    <row r="55" ht="29" customHeight="1" spans="1:6" x14ac:dyDescent="0.25">
      <c r="A55" t="s">
        <v>15</v>
      </c>
      <c r="B55" t="s">
        <v>113</v>
      </c>
      <c r="C55" t="s">
        <v>114</v>
      </c>
      <c r="D55">
        <v>3</v>
      </c>
      <c r="E55" t="s">
        <v>480</v>
      </c>
      <c r="F55" s="9" t="s">
        <v>535</v>
      </c>
    </row>
    <row r="56" ht="29" customHeight="1" spans="1:6" x14ac:dyDescent="0.25">
      <c r="A56" t="s">
        <v>15</v>
      </c>
      <c r="B56" t="s">
        <v>113</v>
      </c>
      <c r="C56" t="s">
        <v>114</v>
      </c>
      <c r="D56">
        <v>4</v>
      </c>
      <c r="E56" t="s">
        <v>482</v>
      </c>
      <c r="F56" s="9" t="s">
        <v>536</v>
      </c>
    </row>
    <row r="57" ht="29" customHeight="1" spans="1:6" x14ac:dyDescent="0.25">
      <c r="A57" t="s">
        <v>15</v>
      </c>
      <c r="B57" t="s">
        <v>113</v>
      </c>
      <c r="C57" t="s">
        <v>114</v>
      </c>
      <c r="D57">
        <v>5</v>
      </c>
      <c r="E57" t="s">
        <v>484</v>
      </c>
      <c r="F57" s="9" t="s">
        <v>537</v>
      </c>
    </row>
    <row r="58" ht="29" customHeight="1" spans="1:6" x14ac:dyDescent="0.25">
      <c r="A58" t="s">
        <v>15</v>
      </c>
      <c r="B58" t="s">
        <v>120</v>
      </c>
      <c r="C58" t="s">
        <v>121</v>
      </c>
      <c r="D58">
        <v>2</v>
      </c>
      <c r="E58" t="s">
        <v>478</v>
      </c>
      <c r="F58" s="9" t="s">
        <v>538</v>
      </c>
    </row>
    <row r="59" spans="1:6" x14ac:dyDescent="0.25">
      <c r="A59" t="s">
        <v>15</v>
      </c>
      <c r="B59" t="s">
        <v>120</v>
      </c>
      <c r="C59" t="s">
        <v>121</v>
      </c>
      <c r="D59">
        <v>3</v>
      </c>
      <c r="E59" t="s">
        <v>480</v>
      </c>
      <c r="F59" s="9" t="s">
        <v>539</v>
      </c>
    </row>
    <row r="60" ht="29" customHeight="1" spans="1:6" x14ac:dyDescent="0.25">
      <c r="A60" t="s">
        <v>15</v>
      </c>
      <c r="B60" t="s">
        <v>120</v>
      </c>
      <c r="C60" t="s">
        <v>121</v>
      </c>
      <c r="D60">
        <v>4</v>
      </c>
      <c r="E60" t="s">
        <v>482</v>
      </c>
      <c r="F60" s="9" t="s">
        <v>540</v>
      </c>
    </row>
    <row r="61" ht="29" customHeight="1" spans="1:6" x14ac:dyDescent="0.25">
      <c r="A61" t="s">
        <v>15</v>
      </c>
      <c r="B61" t="s">
        <v>120</v>
      </c>
      <c r="C61" t="s">
        <v>121</v>
      </c>
      <c r="D61">
        <v>5</v>
      </c>
      <c r="E61" t="s">
        <v>484</v>
      </c>
      <c r="F61" s="9" t="s">
        <v>541</v>
      </c>
    </row>
    <row r="62" spans="1:6" x14ac:dyDescent="0.25">
      <c r="A62" t="s">
        <v>15</v>
      </c>
      <c r="B62" t="s">
        <v>127</v>
      </c>
      <c r="C62" t="s">
        <v>128</v>
      </c>
      <c r="D62">
        <v>2</v>
      </c>
      <c r="E62" t="s">
        <v>478</v>
      </c>
      <c r="F62" s="9" t="s">
        <v>542</v>
      </c>
    </row>
    <row r="63" ht="29" customHeight="1" spans="1:6" x14ac:dyDescent="0.25">
      <c r="A63" t="s">
        <v>15</v>
      </c>
      <c r="B63" t="s">
        <v>127</v>
      </c>
      <c r="C63" t="s">
        <v>128</v>
      </c>
      <c r="D63">
        <v>3</v>
      </c>
      <c r="E63" t="s">
        <v>480</v>
      </c>
      <c r="F63" s="9" t="s">
        <v>543</v>
      </c>
    </row>
    <row r="64" spans="1:6" x14ac:dyDescent="0.25">
      <c r="A64" t="s">
        <v>15</v>
      </c>
      <c r="B64" t="s">
        <v>127</v>
      </c>
      <c r="C64" t="s">
        <v>128</v>
      </c>
      <c r="D64">
        <v>4</v>
      </c>
      <c r="E64" t="s">
        <v>482</v>
      </c>
      <c r="F64" s="9" t="s">
        <v>544</v>
      </c>
    </row>
    <row r="65" ht="29" customHeight="1" spans="1:6" x14ac:dyDescent="0.25">
      <c r="A65" t="s">
        <v>15</v>
      </c>
      <c r="B65" t="s">
        <v>127</v>
      </c>
      <c r="C65" t="s">
        <v>128</v>
      </c>
      <c r="D65">
        <v>5</v>
      </c>
      <c r="E65" t="s">
        <v>484</v>
      </c>
      <c r="F65" s="9" t="s">
        <v>545</v>
      </c>
    </row>
    <row r="66" ht="29" customHeight="1" spans="1:6" x14ac:dyDescent="0.25">
      <c r="A66" t="s">
        <v>15</v>
      </c>
      <c r="B66" t="s">
        <v>134</v>
      </c>
      <c r="C66" t="s">
        <v>135</v>
      </c>
      <c r="D66">
        <v>2</v>
      </c>
      <c r="E66" t="s">
        <v>478</v>
      </c>
      <c r="F66" s="9" t="s">
        <v>546</v>
      </c>
    </row>
    <row r="67" spans="1:6" x14ac:dyDescent="0.25">
      <c r="A67" t="s">
        <v>15</v>
      </c>
      <c r="B67" t="s">
        <v>134</v>
      </c>
      <c r="C67" t="s">
        <v>135</v>
      </c>
      <c r="D67">
        <v>3</v>
      </c>
      <c r="E67" t="s">
        <v>480</v>
      </c>
      <c r="F67" s="9" t="s">
        <v>547</v>
      </c>
    </row>
    <row r="68" spans="1:6" x14ac:dyDescent="0.25">
      <c r="A68" t="s">
        <v>15</v>
      </c>
      <c r="B68" t="s">
        <v>134</v>
      </c>
      <c r="C68" t="s">
        <v>135</v>
      </c>
      <c r="D68">
        <v>4</v>
      </c>
      <c r="E68" t="s">
        <v>482</v>
      </c>
      <c r="F68" s="9" t="s">
        <v>548</v>
      </c>
    </row>
    <row r="69" ht="29" customHeight="1" spans="1:6" x14ac:dyDescent="0.25">
      <c r="A69" t="s">
        <v>15</v>
      </c>
      <c r="B69" t="s">
        <v>134</v>
      </c>
      <c r="C69" t="s">
        <v>135</v>
      </c>
      <c r="D69">
        <v>5</v>
      </c>
      <c r="E69" t="s">
        <v>484</v>
      </c>
      <c r="F69" s="9" t="s">
        <v>549</v>
      </c>
    </row>
    <row r="70" ht="29" customHeight="1" spans="1:6" x14ac:dyDescent="0.25">
      <c r="A70" t="s">
        <v>15</v>
      </c>
      <c r="B70" t="s">
        <v>143</v>
      </c>
      <c r="C70" t="s">
        <v>144</v>
      </c>
      <c r="D70">
        <v>2</v>
      </c>
      <c r="E70" t="s">
        <v>478</v>
      </c>
      <c r="F70" s="9" t="s">
        <v>550</v>
      </c>
    </row>
    <row r="71" ht="29" customHeight="1" spans="1:6" x14ac:dyDescent="0.25">
      <c r="A71" t="s">
        <v>15</v>
      </c>
      <c r="B71" t="s">
        <v>143</v>
      </c>
      <c r="C71" t="s">
        <v>144</v>
      </c>
      <c r="D71">
        <v>3</v>
      </c>
      <c r="E71" t="s">
        <v>480</v>
      </c>
      <c r="F71" s="9" t="s">
        <v>551</v>
      </c>
    </row>
    <row r="72" ht="29" customHeight="1" spans="1:6" x14ac:dyDescent="0.25">
      <c r="A72" t="s">
        <v>15</v>
      </c>
      <c r="B72" t="s">
        <v>143</v>
      </c>
      <c r="C72" t="s">
        <v>144</v>
      </c>
      <c r="D72">
        <v>4</v>
      </c>
      <c r="E72" t="s">
        <v>482</v>
      </c>
      <c r="F72" s="9" t="s">
        <v>552</v>
      </c>
    </row>
    <row r="73" ht="43.5" customHeight="1" spans="1:6" x14ac:dyDescent="0.25">
      <c r="A73" t="s">
        <v>15</v>
      </c>
      <c r="B73" t="s">
        <v>143</v>
      </c>
      <c r="C73" t="s">
        <v>144</v>
      </c>
      <c r="D73">
        <v>5</v>
      </c>
      <c r="E73" t="s">
        <v>484</v>
      </c>
      <c r="F73" s="9" t="s">
        <v>553</v>
      </c>
    </row>
    <row r="74" ht="29" customHeight="1" spans="1:6" x14ac:dyDescent="0.25">
      <c r="A74" t="s">
        <v>15</v>
      </c>
      <c r="B74" t="s">
        <v>150</v>
      </c>
      <c r="C74" t="s">
        <v>151</v>
      </c>
      <c r="D74">
        <v>2</v>
      </c>
      <c r="E74" t="s">
        <v>478</v>
      </c>
      <c r="F74" s="9" t="s">
        <v>554</v>
      </c>
    </row>
    <row r="75" ht="29" customHeight="1" spans="1:6" x14ac:dyDescent="0.25">
      <c r="A75" t="s">
        <v>15</v>
      </c>
      <c r="B75" t="s">
        <v>150</v>
      </c>
      <c r="C75" t="s">
        <v>151</v>
      </c>
      <c r="D75">
        <v>3</v>
      </c>
      <c r="E75" t="s">
        <v>480</v>
      </c>
      <c r="F75" s="9" t="s">
        <v>555</v>
      </c>
    </row>
    <row r="76" ht="29" customHeight="1" spans="1:6" x14ac:dyDescent="0.25">
      <c r="A76" t="s">
        <v>15</v>
      </c>
      <c r="B76" t="s">
        <v>150</v>
      </c>
      <c r="C76" t="s">
        <v>151</v>
      </c>
      <c r="D76">
        <v>4</v>
      </c>
      <c r="E76" t="s">
        <v>482</v>
      </c>
      <c r="F76" s="9" t="s">
        <v>556</v>
      </c>
    </row>
    <row r="77" ht="29" customHeight="1" spans="1:6" x14ac:dyDescent="0.25">
      <c r="A77" t="s">
        <v>15</v>
      </c>
      <c r="B77" t="s">
        <v>150</v>
      </c>
      <c r="C77" t="s">
        <v>151</v>
      </c>
      <c r="D77">
        <v>5</v>
      </c>
      <c r="E77" t="s">
        <v>484</v>
      </c>
      <c r="F77" s="9" t="s">
        <v>557</v>
      </c>
    </row>
    <row r="78" spans="1:6" x14ac:dyDescent="0.25">
      <c r="A78" t="s">
        <v>15</v>
      </c>
      <c r="B78" t="s">
        <v>157</v>
      </c>
      <c r="C78" t="s">
        <v>158</v>
      </c>
      <c r="D78">
        <v>2</v>
      </c>
      <c r="E78" t="s">
        <v>478</v>
      </c>
      <c r="F78" s="9" t="s">
        <v>558</v>
      </c>
    </row>
    <row r="79" spans="1:6" x14ac:dyDescent="0.25">
      <c r="A79" t="s">
        <v>15</v>
      </c>
      <c r="B79" t="s">
        <v>157</v>
      </c>
      <c r="C79" t="s">
        <v>158</v>
      </c>
      <c r="D79">
        <v>3</v>
      </c>
      <c r="E79" t="s">
        <v>480</v>
      </c>
      <c r="F79" s="9" t="s">
        <v>559</v>
      </c>
    </row>
    <row r="80" spans="1:6" x14ac:dyDescent="0.25">
      <c r="A80" t="s">
        <v>15</v>
      </c>
      <c r="B80" t="s">
        <v>157</v>
      </c>
      <c r="C80" t="s">
        <v>158</v>
      </c>
      <c r="D80">
        <v>4</v>
      </c>
      <c r="E80" t="s">
        <v>482</v>
      </c>
      <c r="F80" s="9" t="s">
        <v>560</v>
      </c>
    </row>
    <row r="81" ht="29" customHeight="1" spans="1:6" x14ac:dyDescent="0.25">
      <c r="A81" t="s">
        <v>15</v>
      </c>
      <c r="B81" t="s">
        <v>157</v>
      </c>
      <c r="C81" t="s">
        <v>158</v>
      </c>
      <c r="D81">
        <v>5</v>
      </c>
      <c r="E81" t="s">
        <v>484</v>
      </c>
      <c r="F81" s="9" t="s">
        <v>561</v>
      </c>
    </row>
    <row r="82" ht="29" customHeight="1" spans="1:6" x14ac:dyDescent="0.25">
      <c r="A82" t="s">
        <v>15</v>
      </c>
      <c r="B82" t="s">
        <v>166</v>
      </c>
      <c r="C82" t="s">
        <v>167</v>
      </c>
      <c r="D82">
        <v>2</v>
      </c>
      <c r="E82" t="s">
        <v>478</v>
      </c>
      <c r="F82" s="9" t="s">
        <v>562</v>
      </c>
    </row>
    <row r="83" ht="29" customHeight="1" spans="1:6" x14ac:dyDescent="0.25">
      <c r="A83" t="s">
        <v>15</v>
      </c>
      <c r="B83" t="s">
        <v>166</v>
      </c>
      <c r="C83" t="s">
        <v>167</v>
      </c>
      <c r="D83">
        <v>3</v>
      </c>
      <c r="E83" t="s">
        <v>480</v>
      </c>
      <c r="F83" s="9" t="s">
        <v>563</v>
      </c>
    </row>
    <row r="84" ht="29" customHeight="1" spans="1:6" x14ac:dyDescent="0.25">
      <c r="A84" t="s">
        <v>15</v>
      </c>
      <c r="B84" t="s">
        <v>166</v>
      </c>
      <c r="C84" t="s">
        <v>167</v>
      </c>
      <c r="D84">
        <v>4</v>
      </c>
      <c r="E84" t="s">
        <v>482</v>
      </c>
      <c r="F84" s="9" t="s">
        <v>564</v>
      </c>
    </row>
    <row r="85" ht="29" customHeight="1" spans="1:6" x14ac:dyDescent="0.25">
      <c r="A85" t="s">
        <v>15</v>
      </c>
      <c r="B85" t="s">
        <v>166</v>
      </c>
      <c r="C85" t="s">
        <v>167</v>
      </c>
      <c r="D85">
        <v>5</v>
      </c>
      <c r="E85" t="s">
        <v>484</v>
      </c>
      <c r="F85" s="9" t="s">
        <v>565</v>
      </c>
    </row>
    <row r="86" ht="29" customHeight="1" spans="1:6" x14ac:dyDescent="0.25">
      <c r="A86" t="s">
        <v>15</v>
      </c>
      <c r="B86" t="s">
        <v>173</v>
      </c>
      <c r="C86" t="s">
        <v>174</v>
      </c>
      <c r="D86">
        <v>2</v>
      </c>
      <c r="E86" t="s">
        <v>478</v>
      </c>
      <c r="F86" s="9" t="s">
        <v>566</v>
      </c>
    </row>
    <row r="87" ht="43.5" customHeight="1" spans="1:6" x14ac:dyDescent="0.25">
      <c r="A87" t="s">
        <v>15</v>
      </c>
      <c r="B87" t="s">
        <v>173</v>
      </c>
      <c r="C87" t="s">
        <v>174</v>
      </c>
      <c r="D87">
        <v>3</v>
      </c>
      <c r="E87" t="s">
        <v>480</v>
      </c>
      <c r="F87" s="9" t="s">
        <v>567</v>
      </c>
    </row>
    <row r="88" ht="29" customHeight="1" spans="1:6" x14ac:dyDescent="0.25">
      <c r="A88" t="s">
        <v>15</v>
      </c>
      <c r="B88" t="s">
        <v>173</v>
      </c>
      <c r="C88" t="s">
        <v>174</v>
      </c>
      <c r="D88">
        <v>4</v>
      </c>
      <c r="E88" t="s">
        <v>482</v>
      </c>
      <c r="F88" s="9" t="s">
        <v>568</v>
      </c>
    </row>
    <row r="89" ht="43.5" customHeight="1" spans="1:6" x14ac:dyDescent="0.25">
      <c r="A89" t="s">
        <v>15</v>
      </c>
      <c r="B89" t="s">
        <v>173</v>
      </c>
      <c r="C89" t="s">
        <v>174</v>
      </c>
      <c r="D89">
        <v>5</v>
      </c>
      <c r="E89" t="s">
        <v>484</v>
      </c>
      <c r="F89" s="9" t="s">
        <v>569</v>
      </c>
    </row>
    <row r="90" ht="29" customHeight="1" spans="1:6" x14ac:dyDescent="0.25">
      <c r="A90" t="s">
        <v>15</v>
      </c>
      <c r="B90" t="s">
        <v>180</v>
      </c>
      <c r="C90" t="s">
        <v>181</v>
      </c>
      <c r="D90">
        <v>2</v>
      </c>
      <c r="E90" t="s">
        <v>478</v>
      </c>
      <c r="F90" s="9" t="s">
        <v>570</v>
      </c>
    </row>
    <row r="91" ht="29" customHeight="1" spans="1:6" x14ac:dyDescent="0.25">
      <c r="A91" t="s">
        <v>15</v>
      </c>
      <c r="B91" t="s">
        <v>180</v>
      </c>
      <c r="C91" t="s">
        <v>181</v>
      </c>
      <c r="D91">
        <v>3</v>
      </c>
      <c r="E91" t="s">
        <v>480</v>
      </c>
      <c r="F91" s="9" t="s">
        <v>571</v>
      </c>
    </row>
    <row r="92" ht="29" customHeight="1" spans="1:6" x14ac:dyDescent="0.25">
      <c r="A92" t="s">
        <v>15</v>
      </c>
      <c r="B92" t="s">
        <v>180</v>
      </c>
      <c r="C92" t="s">
        <v>181</v>
      </c>
      <c r="D92">
        <v>4</v>
      </c>
      <c r="E92" t="s">
        <v>482</v>
      </c>
      <c r="F92" s="9" t="s">
        <v>572</v>
      </c>
    </row>
    <row r="93" ht="29" customHeight="1" spans="1:6" x14ac:dyDescent="0.25">
      <c r="A93" t="s">
        <v>15</v>
      </c>
      <c r="B93" t="s">
        <v>180</v>
      </c>
      <c r="C93" t="s">
        <v>181</v>
      </c>
      <c r="D93">
        <v>5</v>
      </c>
      <c r="E93" t="s">
        <v>484</v>
      </c>
      <c r="F93" s="9" t="s">
        <v>573</v>
      </c>
    </row>
    <row r="94" ht="29" customHeight="1" spans="1:6" x14ac:dyDescent="0.25">
      <c r="A94" t="s">
        <v>15</v>
      </c>
      <c r="B94" t="s">
        <v>187</v>
      </c>
      <c r="C94" t="s">
        <v>188</v>
      </c>
      <c r="D94">
        <v>2</v>
      </c>
      <c r="E94" t="s">
        <v>478</v>
      </c>
      <c r="F94" s="9" t="s">
        <v>574</v>
      </c>
    </row>
    <row r="95" ht="29" customHeight="1" spans="1:6" x14ac:dyDescent="0.25">
      <c r="A95" t="s">
        <v>15</v>
      </c>
      <c r="B95" t="s">
        <v>187</v>
      </c>
      <c r="C95" t="s">
        <v>188</v>
      </c>
      <c r="D95">
        <v>3</v>
      </c>
      <c r="E95" t="s">
        <v>480</v>
      </c>
      <c r="F95" s="9" t="s">
        <v>575</v>
      </c>
    </row>
    <row r="96" ht="29" customHeight="1" spans="1:6" x14ac:dyDescent="0.25">
      <c r="A96" t="s">
        <v>15</v>
      </c>
      <c r="B96" t="s">
        <v>187</v>
      </c>
      <c r="C96" t="s">
        <v>188</v>
      </c>
      <c r="D96">
        <v>4</v>
      </c>
      <c r="E96" t="s">
        <v>482</v>
      </c>
      <c r="F96" s="9" t="s">
        <v>576</v>
      </c>
    </row>
    <row r="97" ht="29" customHeight="1" spans="1:6" x14ac:dyDescent="0.25">
      <c r="A97" t="s">
        <v>15</v>
      </c>
      <c r="B97" t="s">
        <v>187</v>
      </c>
      <c r="C97" t="s">
        <v>188</v>
      </c>
      <c r="D97">
        <v>5</v>
      </c>
      <c r="E97" t="s">
        <v>484</v>
      </c>
      <c r="F97" s="9" t="s">
        <v>577</v>
      </c>
    </row>
    <row r="98" ht="29" customHeight="1" spans="1:6" x14ac:dyDescent="0.25">
      <c r="A98" t="s">
        <v>15</v>
      </c>
      <c r="B98" t="s">
        <v>194</v>
      </c>
      <c r="C98" t="s">
        <v>195</v>
      </c>
      <c r="D98">
        <v>2</v>
      </c>
      <c r="E98" t="s">
        <v>478</v>
      </c>
      <c r="F98" s="9" t="s">
        <v>578</v>
      </c>
    </row>
    <row r="99" ht="29" customHeight="1" spans="1:6" x14ac:dyDescent="0.25">
      <c r="A99" t="s">
        <v>15</v>
      </c>
      <c r="B99" t="s">
        <v>194</v>
      </c>
      <c r="C99" t="s">
        <v>195</v>
      </c>
      <c r="D99">
        <v>3</v>
      </c>
      <c r="E99" t="s">
        <v>480</v>
      </c>
      <c r="F99" s="9" t="s">
        <v>579</v>
      </c>
    </row>
    <row r="100" ht="29" customHeight="1" spans="1:6" x14ac:dyDescent="0.25">
      <c r="A100" t="s">
        <v>15</v>
      </c>
      <c r="B100" t="s">
        <v>194</v>
      </c>
      <c r="C100" t="s">
        <v>195</v>
      </c>
      <c r="D100">
        <v>4</v>
      </c>
      <c r="E100" t="s">
        <v>482</v>
      </c>
      <c r="F100" s="9" t="s">
        <v>580</v>
      </c>
    </row>
    <row r="101" ht="29" customHeight="1" spans="1:6" x14ac:dyDescent="0.25">
      <c r="A101" t="s">
        <v>15</v>
      </c>
      <c r="B101" t="s">
        <v>194</v>
      </c>
      <c r="C101" t="s">
        <v>195</v>
      </c>
      <c r="D101">
        <v>5</v>
      </c>
      <c r="E101" t="s">
        <v>484</v>
      </c>
      <c r="F101" s="9" t="s">
        <v>581</v>
      </c>
    </row>
    <row r="102" ht="29" customHeight="1" spans="1:6" x14ac:dyDescent="0.25">
      <c r="A102" t="s">
        <v>15</v>
      </c>
      <c r="B102" t="s">
        <v>201</v>
      </c>
      <c r="C102" t="s">
        <v>202</v>
      </c>
      <c r="D102">
        <v>2</v>
      </c>
      <c r="E102" t="s">
        <v>478</v>
      </c>
      <c r="F102" s="9" t="s">
        <v>582</v>
      </c>
    </row>
    <row r="103" spans="1:6" x14ac:dyDescent="0.25">
      <c r="A103" t="s">
        <v>15</v>
      </c>
      <c r="B103" t="s">
        <v>201</v>
      </c>
      <c r="C103" t="s">
        <v>202</v>
      </c>
      <c r="D103">
        <v>3</v>
      </c>
      <c r="E103" t="s">
        <v>480</v>
      </c>
      <c r="F103" s="9" t="s">
        <v>583</v>
      </c>
    </row>
    <row r="104" spans="1:6" x14ac:dyDescent="0.25">
      <c r="A104" t="s">
        <v>15</v>
      </c>
      <c r="B104" t="s">
        <v>201</v>
      </c>
      <c r="C104" t="s">
        <v>202</v>
      </c>
      <c r="D104">
        <v>4</v>
      </c>
      <c r="E104" t="s">
        <v>482</v>
      </c>
      <c r="F104" s="9" t="s">
        <v>584</v>
      </c>
    </row>
    <row r="105" spans="1:6" x14ac:dyDescent="0.25">
      <c r="A105" t="s">
        <v>15</v>
      </c>
      <c r="B105" t="s">
        <v>201</v>
      </c>
      <c r="C105" t="s">
        <v>202</v>
      </c>
      <c r="D105">
        <v>5</v>
      </c>
      <c r="E105" t="s">
        <v>484</v>
      </c>
      <c r="F105" s="9" t="s">
        <v>585</v>
      </c>
    </row>
    <row r="106" spans="1:6" x14ac:dyDescent="0.25">
      <c r="A106" t="s">
        <v>15</v>
      </c>
      <c r="B106" t="s">
        <v>210</v>
      </c>
      <c r="C106" t="s">
        <v>211</v>
      </c>
      <c r="D106">
        <v>2</v>
      </c>
      <c r="E106" t="s">
        <v>478</v>
      </c>
      <c r="F106" s="9" t="s">
        <v>586</v>
      </c>
    </row>
    <row r="107" ht="43.5" customHeight="1" spans="1:6" x14ac:dyDescent="0.25">
      <c r="A107" t="s">
        <v>15</v>
      </c>
      <c r="B107" t="s">
        <v>210</v>
      </c>
      <c r="C107" t="s">
        <v>211</v>
      </c>
      <c r="D107">
        <v>3</v>
      </c>
      <c r="E107" t="s">
        <v>480</v>
      </c>
      <c r="F107" s="9" t="s">
        <v>587</v>
      </c>
    </row>
    <row r="108" ht="43.5" customHeight="1" spans="1:6" x14ac:dyDescent="0.25">
      <c r="A108" t="s">
        <v>15</v>
      </c>
      <c r="B108" t="s">
        <v>210</v>
      </c>
      <c r="C108" t="s">
        <v>211</v>
      </c>
      <c r="D108">
        <v>4</v>
      </c>
      <c r="E108" t="s">
        <v>482</v>
      </c>
      <c r="F108" s="9" t="s">
        <v>588</v>
      </c>
    </row>
    <row r="109" ht="43.5" customHeight="1" spans="1:6" x14ac:dyDescent="0.25">
      <c r="A109" t="s">
        <v>15</v>
      </c>
      <c r="B109" t="s">
        <v>210</v>
      </c>
      <c r="C109" t="s">
        <v>211</v>
      </c>
      <c r="D109">
        <v>5</v>
      </c>
      <c r="E109" t="s">
        <v>484</v>
      </c>
      <c r="F109" s="9" t="s">
        <v>589</v>
      </c>
    </row>
    <row r="110" spans="1:6" x14ac:dyDescent="0.25">
      <c r="A110" t="s">
        <v>15</v>
      </c>
      <c r="B110" t="s">
        <v>217</v>
      </c>
      <c r="C110" t="s">
        <v>218</v>
      </c>
      <c r="D110">
        <v>2</v>
      </c>
      <c r="E110" t="s">
        <v>478</v>
      </c>
      <c r="F110" s="9" t="s">
        <v>590</v>
      </c>
    </row>
    <row r="111" ht="29" customHeight="1" spans="1:6" x14ac:dyDescent="0.25">
      <c r="A111" t="s">
        <v>15</v>
      </c>
      <c r="B111" t="s">
        <v>217</v>
      </c>
      <c r="C111" t="s">
        <v>218</v>
      </c>
      <c r="D111">
        <v>3</v>
      </c>
      <c r="E111" t="s">
        <v>480</v>
      </c>
      <c r="F111" s="9" t="s">
        <v>591</v>
      </c>
    </row>
    <row r="112" ht="29" customHeight="1" spans="1:6" x14ac:dyDescent="0.25">
      <c r="A112" t="s">
        <v>15</v>
      </c>
      <c r="B112" t="s">
        <v>217</v>
      </c>
      <c r="C112" t="s">
        <v>218</v>
      </c>
      <c r="D112">
        <v>4</v>
      </c>
      <c r="E112" t="s">
        <v>482</v>
      </c>
      <c r="F112" s="9" t="s">
        <v>592</v>
      </c>
    </row>
    <row r="113" ht="29" customHeight="1" spans="1:6" x14ac:dyDescent="0.25">
      <c r="A113" t="s">
        <v>15</v>
      </c>
      <c r="B113" t="s">
        <v>217</v>
      </c>
      <c r="C113" t="s">
        <v>218</v>
      </c>
      <c r="D113">
        <v>5</v>
      </c>
      <c r="E113" t="s">
        <v>484</v>
      </c>
      <c r="F113" s="9" t="s">
        <v>593</v>
      </c>
    </row>
    <row r="114" ht="43.5" customHeight="1" spans="1:6" x14ac:dyDescent="0.25">
      <c r="A114" t="s">
        <v>15</v>
      </c>
      <c r="B114" t="s">
        <v>224</v>
      </c>
      <c r="C114" t="s">
        <v>225</v>
      </c>
      <c r="D114">
        <v>2</v>
      </c>
      <c r="E114" t="s">
        <v>478</v>
      </c>
      <c r="F114" s="9" t="s">
        <v>594</v>
      </c>
    </row>
    <row r="115" ht="43.5" customHeight="1" spans="1:6" x14ac:dyDescent="0.25">
      <c r="A115" t="s">
        <v>15</v>
      </c>
      <c r="B115" t="s">
        <v>224</v>
      </c>
      <c r="C115" t="s">
        <v>225</v>
      </c>
      <c r="D115">
        <v>3</v>
      </c>
      <c r="E115" t="s">
        <v>480</v>
      </c>
      <c r="F115" s="9" t="s">
        <v>595</v>
      </c>
    </row>
    <row r="116" ht="43.5" customHeight="1" spans="1:6" x14ac:dyDescent="0.25">
      <c r="A116" t="s">
        <v>15</v>
      </c>
      <c r="B116" t="s">
        <v>224</v>
      </c>
      <c r="C116" t="s">
        <v>225</v>
      </c>
      <c r="D116">
        <v>4</v>
      </c>
      <c r="E116" t="s">
        <v>482</v>
      </c>
      <c r="F116" s="9" t="s">
        <v>596</v>
      </c>
    </row>
    <row r="117" ht="58" customHeight="1" spans="1:6" x14ac:dyDescent="0.25">
      <c r="A117" t="s">
        <v>15</v>
      </c>
      <c r="B117" t="s">
        <v>224</v>
      </c>
      <c r="C117" t="s">
        <v>225</v>
      </c>
      <c r="D117">
        <v>5</v>
      </c>
      <c r="E117" t="s">
        <v>484</v>
      </c>
      <c r="F117" s="9" t="s">
        <v>597</v>
      </c>
    </row>
    <row r="118" spans="1:6" x14ac:dyDescent="0.25">
      <c r="A118" t="s">
        <v>15</v>
      </c>
      <c r="B118" t="s">
        <v>231</v>
      </c>
      <c r="C118" t="s">
        <v>232</v>
      </c>
      <c r="D118">
        <v>2</v>
      </c>
      <c r="E118" t="s">
        <v>478</v>
      </c>
      <c r="F118" s="9" t="s">
        <v>598</v>
      </c>
    </row>
    <row r="119" ht="29" customHeight="1" spans="1:6" x14ac:dyDescent="0.25">
      <c r="A119" t="s">
        <v>15</v>
      </c>
      <c r="B119" t="s">
        <v>231</v>
      </c>
      <c r="C119" t="s">
        <v>232</v>
      </c>
      <c r="D119">
        <v>3</v>
      </c>
      <c r="E119" t="s">
        <v>480</v>
      </c>
      <c r="F119" s="9" t="s">
        <v>599</v>
      </c>
    </row>
    <row r="120" ht="43.5" customHeight="1" spans="1:6" x14ac:dyDescent="0.25">
      <c r="A120" t="s">
        <v>15</v>
      </c>
      <c r="B120" t="s">
        <v>231</v>
      </c>
      <c r="C120" t="s">
        <v>232</v>
      </c>
      <c r="D120">
        <v>4</v>
      </c>
      <c r="E120" t="s">
        <v>482</v>
      </c>
      <c r="F120" s="9" t="s">
        <v>600</v>
      </c>
    </row>
    <row r="121" ht="43.5" customHeight="1" spans="1:6" x14ac:dyDescent="0.25">
      <c r="A121" t="s">
        <v>15</v>
      </c>
      <c r="B121" t="s">
        <v>231</v>
      </c>
      <c r="C121" t="s">
        <v>232</v>
      </c>
      <c r="D121">
        <v>5</v>
      </c>
      <c r="E121" t="s">
        <v>484</v>
      </c>
      <c r="F121" s="9" t="s">
        <v>601</v>
      </c>
    </row>
    <row r="122" ht="29" customHeight="1" spans="1:6" x14ac:dyDescent="0.25">
      <c r="A122" t="s">
        <v>15</v>
      </c>
      <c r="B122" t="s">
        <v>238</v>
      </c>
      <c r="C122" t="s">
        <v>239</v>
      </c>
      <c r="D122">
        <v>2</v>
      </c>
      <c r="E122" t="s">
        <v>478</v>
      </c>
      <c r="F122" s="9" t="s">
        <v>602</v>
      </c>
    </row>
    <row r="123" ht="43.5" customHeight="1" spans="1:6" x14ac:dyDescent="0.25">
      <c r="A123" t="s">
        <v>15</v>
      </c>
      <c r="B123" t="s">
        <v>238</v>
      </c>
      <c r="C123" t="s">
        <v>239</v>
      </c>
      <c r="D123">
        <v>3</v>
      </c>
      <c r="E123" t="s">
        <v>480</v>
      </c>
      <c r="F123" s="9" t="s">
        <v>603</v>
      </c>
    </row>
    <row r="124" ht="43.5" customHeight="1" spans="1:6" x14ac:dyDescent="0.25">
      <c r="A124" t="s">
        <v>15</v>
      </c>
      <c r="B124" t="s">
        <v>238</v>
      </c>
      <c r="C124" t="s">
        <v>239</v>
      </c>
      <c r="D124">
        <v>4</v>
      </c>
      <c r="E124" t="s">
        <v>482</v>
      </c>
      <c r="F124" s="9" t="s">
        <v>604</v>
      </c>
    </row>
    <row r="125" ht="58" customHeight="1" spans="1:6" x14ac:dyDescent="0.25">
      <c r="A125" t="s">
        <v>15</v>
      </c>
      <c r="B125" t="s">
        <v>238</v>
      </c>
      <c r="C125" t="s">
        <v>239</v>
      </c>
      <c r="D125">
        <v>5</v>
      </c>
      <c r="E125" t="s">
        <v>484</v>
      </c>
      <c r="F125" s="9" t="s">
        <v>605</v>
      </c>
    </row>
    <row r="126" spans="1:6" x14ac:dyDescent="0.25">
      <c r="A126" t="s">
        <v>15</v>
      </c>
      <c r="B126" t="s">
        <v>245</v>
      </c>
      <c r="C126" t="s">
        <v>246</v>
      </c>
      <c r="D126">
        <v>2</v>
      </c>
      <c r="E126" t="s">
        <v>478</v>
      </c>
      <c r="F126" s="9" t="s">
        <v>606</v>
      </c>
    </row>
    <row r="127" spans="1:6" x14ac:dyDescent="0.25">
      <c r="A127" t="s">
        <v>15</v>
      </c>
      <c r="B127" t="s">
        <v>245</v>
      </c>
      <c r="C127" t="s">
        <v>246</v>
      </c>
      <c r="D127">
        <v>3</v>
      </c>
      <c r="E127" t="s">
        <v>480</v>
      </c>
      <c r="F127" s="9" t="s">
        <v>607</v>
      </c>
    </row>
    <row r="128" ht="29" customHeight="1" spans="1:6" x14ac:dyDescent="0.25">
      <c r="A128" t="s">
        <v>15</v>
      </c>
      <c r="B128" t="s">
        <v>245</v>
      </c>
      <c r="C128" t="s">
        <v>246</v>
      </c>
      <c r="D128">
        <v>4</v>
      </c>
      <c r="E128" t="s">
        <v>482</v>
      </c>
      <c r="F128" s="9" t="s">
        <v>608</v>
      </c>
    </row>
    <row r="129" ht="29" customHeight="1" spans="1:6" x14ac:dyDescent="0.25">
      <c r="A129" t="s">
        <v>15</v>
      </c>
      <c r="B129" t="s">
        <v>245</v>
      </c>
      <c r="C129" t="s">
        <v>246</v>
      </c>
      <c r="D129">
        <v>5</v>
      </c>
      <c r="E129" t="s">
        <v>484</v>
      </c>
      <c r="F129" s="9" t="s">
        <v>609</v>
      </c>
    </row>
    <row r="130" spans="1:6" x14ac:dyDescent="0.25">
      <c r="A130" t="s">
        <v>15</v>
      </c>
      <c r="B130" t="s">
        <v>252</v>
      </c>
      <c r="C130" t="s">
        <v>253</v>
      </c>
      <c r="D130">
        <v>2</v>
      </c>
      <c r="E130" t="s">
        <v>478</v>
      </c>
      <c r="F130" s="9" t="s">
        <v>610</v>
      </c>
    </row>
    <row r="131" ht="29" customHeight="1" spans="1:6" x14ac:dyDescent="0.25">
      <c r="A131" t="s">
        <v>15</v>
      </c>
      <c r="B131" t="s">
        <v>252</v>
      </c>
      <c r="C131" t="s">
        <v>253</v>
      </c>
      <c r="D131">
        <v>3</v>
      </c>
      <c r="E131" t="s">
        <v>480</v>
      </c>
      <c r="F131" s="9" t="s">
        <v>611</v>
      </c>
    </row>
    <row r="132" ht="43.5" customHeight="1" spans="1:6" x14ac:dyDescent="0.25">
      <c r="A132" t="s">
        <v>15</v>
      </c>
      <c r="B132" t="s">
        <v>252</v>
      </c>
      <c r="C132" t="s">
        <v>253</v>
      </c>
      <c r="D132">
        <v>4</v>
      </c>
      <c r="E132" t="s">
        <v>482</v>
      </c>
      <c r="F132" s="9" t="s">
        <v>612</v>
      </c>
    </row>
    <row r="133" ht="43.5" customHeight="1" spans="1:6" x14ac:dyDescent="0.25">
      <c r="A133" t="s">
        <v>15</v>
      </c>
      <c r="B133" t="s">
        <v>252</v>
      </c>
      <c r="C133" t="s">
        <v>253</v>
      </c>
      <c r="D133">
        <v>5</v>
      </c>
      <c r="E133" t="s">
        <v>484</v>
      </c>
      <c r="F133" s="9" t="s">
        <v>613</v>
      </c>
    </row>
    <row r="134" ht="29" customHeight="1" spans="1:6" x14ac:dyDescent="0.25">
      <c r="A134" t="s">
        <v>15</v>
      </c>
      <c r="B134" t="s">
        <v>259</v>
      </c>
      <c r="C134" t="s">
        <v>260</v>
      </c>
      <c r="D134">
        <v>2</v>
      </c>
      <c r="E134" t="s">
        <v>478</v>
      </c>
      <c r="F134" s="9" t="s">
        <v>614</v>
      </c>
    </row>
    <row r="135" spans="1:6" x14ac:dyDescent="0.25">
      <c r="A135" t="s">
        <v>15</v>
      </c>
      <c r="B135" t="s">
        <v>259</v>
      </c>
      <c r="C135" t="s">
        <v>260</v>
      </c>
      <c r="D135">
        <v>3</v>
      </c>
      <c r="E135" t="s">
        <v>480</v>
      </c>
      <c r="F135" s="9" t="s">
        <v>615</v>
      </c>
    </row>
    <row r="136" spans="1:6" x14ac:dyDescent="0.25">
      <c r="A136" t="s">
        <v>15</v>
      </c>
      <c r="B136" t="s">
        <v>259</v>
      </c>
      <c r="C136" t="s">
        <v>260</v>
      </c>
      <c r="D136">
        <v>4</v>
      </c>
      <c r="E136" t="s">
        <v>482</v>
      </c>
      <c r="F136" s="9" t="s">
        <v>616</v>
      </c>
    </row>
    <row r="137" ht="29" customHeight="1" spans="1:6" x14ac:dyDescent="0.25">
      <c r="A137" t="s">
        <v>15</v>
      </c>
      <c r="B137" t="s">
        <v>259</v>
      </c>
      <c r="C137" t="s">
        <v>260</v>
      </c>
      <c r="D137">
        <v>5</v>
      </c>
      <c r="E137" t="s">
        <v>484</v>
      </c>
      <c r="F137" s="9" t="s">
        <v>617</v>
      </c>
    </row>
    <row r="138" spans="1:6" x14ac:dyDescent="0.25">
      <c r="A138" t="s">
        <v>15</v>
      </c>
      <c r="B138" t="s">
        <v>266</v>
      </c>
      <c r="C138" t="s">
        <v>267</v>
      </c>
      <c r="D138">
        <v>2</v>
      </c>
      <c r="E138" t="s">
        <v>478</v>
      </c>
      <c r="F138" s="9" t="s">
        <v>618</v>
      </c>
    </row>
    <row r="139" spans="1:6" x14ac:dyDescent="0.25">
      <c r="A139" t="s">
        <v>15</v>
      </c>
      <c r="B139" t="s">
        <v>266</v>
      </c>
      <c r="C139" t="s">
        <v>267</v>
      </c>
      <c r="D139">
        <v>3</v>
      </c>
      <c r="E139" t="s">
        <v>480</v>
      </c>
      <c r="F139" s="9" t="s">
        <v>619</v>
      </c>
    </row>
    <row r="140" spans="1:6" x14ac:dyDescent="0.25">
      <c r="A140" t="s">
        <v>15</v>
      </c>
      <c r="B140" t="s">
        <v>266</v>
      </c>
      <c r="C140" t="s">
        <v>267</v>
      </c>
      <c r="D140">
        <v>4</v>
      </c>
      <c r="E140" t="s">
        <v>482</v>
      </c>
      <c r="F140" s="9" t="s">
        <v>620</v>
      </c>
    </row>
    <row r="141" spans="1:6" x14ac:dyDescent="0.25">
      <c r="A141" t="s">
        <v>15</v>
      </c>
      <c r="B141" t="s">
        <v>266</v>
      </c>
      <c r="C141" t="s">
        <v>267</v>
      </c>
      <c r="D141">
        <v>5</v>
      </c>
      <c r="E141" t="s">
        <v>484</v>
      </c>
      <c r="F141" s="9" t="s">
        <v>621</v>
      </c>
    </row>
    <row r="142" spans="1:6" x14ac:dyDescent="0.25">
      <c r="A142" t="s">
        <v>15</v>
      </c>
      <c r="B142" t="s">
        <v>273</v>
      </c>
      <c r="C142" t="s">
        <v>274</v>
      </c>
      <c r="D142">
        <v>2</v>
      </c>
      <c r="E142" t="s">
        <v>478</v>
      </c>
      <c r="F142" s="9" t="s">
        <v>622</v>
      </c>
    </row>
    <row r="143" spans="1:6" x14ac:dyDescent="0.25">
      <c r="A143" t="s">
        <v>15</v>
      </c>
      <c r="B143" t="s">
        <v>273</v>
      </c>
      <c r="C143" t="s">
        <v>274</v>
      </c>
      <c r="D143">
        <v>3</v>
      </c>
      <c r="E143" t="s">
        <v>480</v>
      </c>
      <c r="F143" s="9" t="s">
        <v>623</v>
      </c>
    </row>
    <row r="144" spans="1:6" x14ac:dyDescent="0.25">
      <c r="A144" t="s">
        <v>15</v>
      </c>
      <c r="B144" t="s">
        <v>273</v>
      </c>
      <c r="C144" t="s">
        <v>274</v>
      </c>
      <c r="D144">
        <v>4</v>
      </c>
      <c r="E144" t="s">
        <v>482</v>
      </c>
      <c r="F144" s="9" t="s">
        <v>624</v>
      </c>
    </row>
    <row r="145" ht="29" customHeight="1" spans="1:6" x14ac:dyDescent="0.25">
      <c r="A145" t="s">
        <v>15</v>
      </c>
      <c r="B145" t="s">
        <v>273</v>
      </c>
      <c r="C145" t="s">
        <v>274</v>
      </c>
      <c r="D145">
        <v>5</v>
      </c>
      <c r="E145" t="s">
        <v>484</v>
      </c>
      <c r="F145" s="9" t="s">
        <v>625</v>
      </c>
    </row>
    <row r="146" spans="1:6" x14ac:dyDescent="0.25">
      <c r="A146" t="s">
        <v>15</v>
      </c>
      <c r="B146" t="s">
        <v>280</v>
      </c>
      <c r="C146" t="s">
        <v>281</v>
      </c>
      <c r="D146">
        <v>2</v>
      </c>
      <c r="E146" t="s">
        <v>478</v>
      </c>
      <c r="F146" s="9" t="s">
        <v>626</v>
      </c>
    </row>
    <row r="147" spans="1:6" x14ac:dyDescent="0.25">
      <c r="A147" t="s">
        <v>15</v>
      </c>
      <c r="B147" t="s">
        <v>280</v>
      </c>
      <c r="C147" t="s">
        <v>281</v>
      </c>
      <c r="D147">
        <v>3</v>
      </c>
      <c r="E147" t="s">
        <v>480</v>
      </c>
      <c r="F147" s="9" t="s">
        <v>627</v>
      </c>
    </row>
    <row r="148" spans="1:6" x14ac:dyDescent="0.25">
      <c r="A148" t="s">
        <v>15</v>
      </c>
      <c r="B148" t="s">
        <v>280</v>
      </c>
      <c r="C148" t="s">
        <v>281</v>
      </c>
      <c r="D148">
        <v>4</v>
      </c>
      <c r="E148" t="s">
        <v>482</v>
      </c>
      <c r="F148" s="9" t="s">
        <v>628</v>
      </c>
    </row>
    <row r="149" spans="1:6" x14ac:dyDescent="0.25">
      <c r="A149" t="s">
        <v>15</v>
      </c>
      <c r="B149" t="s">
        <v>280</v>
      </c>
      <c r="C149" t="s">
        <v>281</v>
      </c>
      <c r="D149">
        <v>5</v>
      </c>
      <c r="E149" t="s">
        <v>484</v>
      </c>
      <c r="F149" s="9" t="s">
        <v>629</v>
      </c>
    </row>
    <row r="150" spans="1:6" x14ac:dyDescent="0.25">
      <c r="A150" t="s">
        <v>15</v>
      </c>
      <c r="B150" t="s">
        <v>287</v>
      </c>
      <c r="C150" t="s">
        <v>288</v>
      </c>
      <c r="D150">
        <v>2</v>
      </c>
      <c r="E150" t="s">
        <v>478</v>
      </c>
      <c r="F150" s="9" t="s">
        <v>630</v>
      </c>
    </row>
    <row r="151" spans="1:6" x14ac:dyDescent="0.25">
      <c r="A151" t="s">
        <v>15</v>
      </c>
      <c r="B151" t="s">
        <v>287</v>
      </c>
      <c r="C151" t="s">
        <v>288</v>
      </c>
      <c r="D151">
        <v>3</v>
      </c>
      <c r="E151" t="s">
        <v>480</v>
      </c>
      <c r="F151" s="9" t="s">
        <v>631</v>
      </c>
    </row>
    <row r="152" spans="1:6" x14ac:dyDescent="0.25">
      <c r="A152" t="s">
        <v>15</v>
      </c>
      <c r="B152" t="s">
        <v>287</v>
      </c>
      <c r="C152" t="s">
        <v>288</v>
      </c>
      <c r="D152">
        <v>4</v>
      </c>
      <c r="E152" t="s">
        <v>482</v>
      </c>
      <c r="F152" s="9" t="s">
        <v>632</v>
      </c>
    </row>
    <row r="153" spans="1:6" x14ac:dyDescent="0.25">
      <c r="A153" t="s">
        <v>15</v>
      </c>
      <c r="B153" t="s">
        <v>287</v>
      </c>
      <c r="C153" t="s">
        <v>288</v>
      </c>
      <c r="D153">
        <v>5</v>
      </c>
      <c r="E153" t="s">
        <v>484</v>
      </c>
      <c r="F153" s="9" t="s">
        <v>633</v>
      </c>
    </row>
    <row r="154" spans="1:6" x14ac:dyDescent="0.25">
      <c r="A154" t="s">
        <v>15</v>
      </c>
      <c r="B154" t="s">
        <v>294</v>
      </c>
      <c r="C154" t="s">
        <v>295</v>
      </c>
      <c r="D154">
        <v>2</v>
      </c>
      <c r="E154" t="s">
        <v>478</v>
      </c>
      <c r="F154" s="9" t="s">
        <v>634</v>
      </c>
    </row>
    <row r="155" spans="1:6" x14ac:dyDescent="0.25">
      <c r="A155" t="s">
        <v>15</v>
      </c>
      <c r="B155" t="s">
        <v>294</v>
      </c>
      <c r="C155" t="s">
        <v>295</v>
      </c>
      <c r="D155">
        <v>3</v>
      </c>
      <c r="E155" t="s">
        <v>480</v>
      </c>
      <c r="F155" s="9" t="s">
        <v>635</v>
      </c>
    </row>
    <row r="156" spans="1:6" x14ac:dyDescent="0.25">
      <c r="A156" t="s">
        <v>15</v>
      </c>
      <c r="B156" t="s">
        <v>294</v>
      </c>
      <c r="C156" t="s">
        <v>295</v>
      </c>
      <c r="D156">
        <v>4</v>
      </c>
      <c r="E156" t="s">
        <v>482</v>
      </c>
      <c r="F156" s="9" t="s">
        <v>632</v>
      </c>
    </row>
    <row r="157" ht="29" customHeight="1" spans="1:6" x14ac:dyDescent="0.25">
      <c r="A157" t="s">
        <v>15</v>
      </c>
      <c r="B157" t="s">
        <v>294</v>
      </c>
      <c r="C157" t="s">
        <v>295</v>
      </c>
      <c r="D157">
        <v>5</v>
      </c>
      <c r="E157" t="s">
        <v>484</v>
      </c>
      <c r="F157" s="9" t="s">
        <v>636</v>
      </c>
    </row>
    <row r="158" spans="1:6" x14ac:dyDescent="0.25">
      <c r="A158" t="s">
        <v>15</v>
      </c>
      <c r="B158" t="s">
        <v>301</v>
      </c>
      <c r="C158" t="s">
        <v>302</v>
      </c>
      <c r="D158">
        <v>2</v>
      </c>
      <c r="E158" t="s">
        <v>478</v>
      </c>
      <c r="F158" s="9" t="s">
        <v>637</v>
      </c>
    </row>
    <row r="159" spans="1:6" x14ac:dyDescent="0.25">
      <c r="A159" t="s">
        <v>15</v>
      </c>
      <c r="B159" t="s">
        <v>301</v>
      </c>
      <c r="C159" t="s">
        <v>302</v>
      </c>
      <c r="D159">
        <v>3</v>
      </c>
      <c r="E159" t="s">
        <v>480</v>
      </c>
      <c r="F159" s="9" t="s">
        <v>638</v>
      </c>
    </row>
    <row r="160" spans="1:6" x14ac:dyDescent="0.25">
      <c r="A160" t="s">
        <v>15</v>
      </c>
      <c r="B160" t="s">
        <v>301</v>
      </c>
      <c r="C160" t="s">
        <v>302</v>
      </c>
      <c r="D160">
        <v>4</v>
      </c>
      <c r="E160" t="s">
        <v>482</v>
      </c>
      <c r="F160" s="9" t="s">
        <v>639</v>
      </c>
    </row>
    <row r="161" spans="1:6" x14ac:dyDescent="0.25">
      <c r="A161" t="s">
        <v>15</v>
      </c>
      <c r="B161" t="s">
        <v>301</v>
      </c>
      <c r="C161" t="s">
        <v>302</v>
      </c>
      <c r="D161">
        <v>5</v>
      </c>
      <c r="E161" t="s">
        <v>484</v>
      </c>
      <c r="F161" s="9" t="s">
        <v>640</v>
      </c>
    </row>
    <row r="162" ht="29" customHeight="1" spans="1:6" x14ac:dyDescent="0.25">
      <c r="A162" t="s">
        <v>15</v>
      </c>
      <c r="B162" t="s">
        <v>308</v>
      </c>
      <c r="C162" t="s">
        <v>309</v>
      </c>
      <c r="D162">
        <v>2</v>
      </c>
      <c r="E162" t="s">
        <v>478</v>
      </c>
      <c r="F162" s="9" t="s">
        <v>641</v>
      </c>
    </row>
    <row r="163" spans="1:6" x14ac:dyDescent="0.25">
      <c r="A163" t="s">
        <v>15</v>
      </c>
      <c r="B163" t="s">
        <v>308</v>
      </c>
      <c r="C163" t="s">
        <v>309</v>
      </c>
      <c r="D163">
        <v>3</v>
      </c>
      <c r="E163" t="s">
        <v>480</v>
      </c>
      <c r="F163" s="9" t="s">
        <v>642</v>
      </c>
    </row>
    <row r="164" spans="1:6" x14ac:dyDescent="0.25">
      <c r="A164" t="s">
        <v>15</v>
      </c>
      <c r="B164" t="s">
        <v>308</v>
      </c>
      <c r="C164" t="s">
        <v>309</v>
      </c>
      <c r="D164">
        <v>4</v>
      </c>
      <c r="E164" t="s">
        <v>482</v>
      </c>
      <c r="F164" s="9" t="s">
        <v>643</v>
      </c>
    </row>
    <row r="165" ht="29" customHeight="1" spans="1:6" x14ac:dyDescent="0.25">
      <c r="A165" t="s">
        <v>15</v>
      </c>
      <c r="B165" t="s">
        <v>308</v>
      </c>
      <c r="C165" t="s">
        <v>309</v>
      </c>
      <c r="D165">
        <v>5</v>
      </c>
      <c r="E165" t="s">
        <v>484</v>
      </c>
      <c r="F165" s="9" t="s">
        <v>644</v>
      </c>
    </row>
    <row r="166" spans="1:6" x14ac:dyDescent="0.25">
      <c r="A166" t="s">
        <v>15</v>
      </c>
      <c r="B166" t="s">
        <v>315</v>
      </c>
      <c r="C166" t="s">
        <v>316</v>
      </c>
      <c r="D166">
        <v>2</v>
      </c>
      <c r="E166" t="s">
        <v>478</v>
      </c>
      <c r="F166" s="9" t="s">
        <v>645</v>
      </c>
    </row>
    <row r="167" spans="1:6" x14ac:dyDescent="0.25">
      <c r="A167" t="s">
        <v>15</v>
      </c>
      <c r="B167" t="s">
        <v>315</v>
      </c>
      <c r="C167" t="s">
        <v>316</v>
      </c>
      <c r="D167">
        <v>3</v>
      </c>
      <c r="E167" t="s">
        <v>480</v>
      </c>
      <c r="F167" s="9" t="s">
        <v>646</v>
      </c>
    </row>
    <row r="168" spans="1:6" x14ac:dyDescent="0.25">
      <c r="A168" t="s">
        <v>15</v>
      </c>
      <c r="B168" t="s">
        <v>315</v>
      </c>
      <c r="C168" t="s">
        <v>316</v>
      </c>
      <c r="D168">
        <v>4</v>
      </c>
      <c r="E168" t="s">
        <v>482</v>
      </c>
      <c r="F168" s="9" t="s">
        <v>616</v>
      </c>
    </row>
    <row r="169" spans="1:6" x14ac:dyDescent="0.25">
      <c r="A169" t="s">
        <v>15</v>
      </c>
      <c r="B169" t="s">
        <v>315</v>
      </c>
      <c r="C169" t="s">
        <v>316</v>
      </c>
      <c r="D169">
        <v>5</v>
      </c>
      <c r="E169" t="s">
        <v>484</v>
      </c>
      <c r="F169" s="9" t="s">
        <v>647</v>
      </c>
    </row>
    <row r="170" spans="1:6" x14ac:dyDescent="0.25">
      <c r="A170" t="s">
        <v>15</v>
      </c>
      <c r="B170" t="s">
        <v>322</v>
      </c>
      <c r="C170" t="s">
        <v>323</v>
      </c>
      <c r="D170">
        <v>2</v>
      </c>
      <c r="E170" t="s">
        <v>478</v>
      </c>
      <c r="F170" s="9" t="s">
        <v>648</v>
      </c>
    </row>
    <row r="171" spans="1:6" x14ac:dyDescent="0.25">
      <c r="A171" t="s">
        <v>15</v>
      </c>
      <c r="B171" t="s">
        <v>322</v>
      </c>
      <c r="C171" t="s">
        <v>323</v>
      </c>
      <c r="D171">
        <v>3</v>
      </c>
      <c r="E171" t="s">
        <v>480</v>
      </c>
      <c r="F171" s="9" t="s">
        <v>646</v>
      </c>
    </row>
    <row r="172" spans="1:6" x14ac:dyDescent="0.25">
      <c r="A172" t="s">
        <v>15</v>
      </c>
      <c r="B172" t="s">
        <v>322</v>
      </c>
      <c r="C172" t="s">
        <v>323</v>
      </c>
      <c r="D172">
        <v>4</v>
      </c>
      <c r="E172" t="s">
        <v>482</v>
      </c>
      <c r="F172" s="9" t="s">
        <v>616</v>
      </c>
    </row>
    <row r="173" ht="29" customHeight="1" spans="1:6" x14ac:dyDescent="0.25">
      <c r="A173" t="s">
        <v>15</v>
      </c>
      <c r="B173" t="s">
        <v>322</v>
      </c>
      <c r="C173" t="s">
        <v>323</v>
      </c>
      <c r="D173">
        <v>5</v>
      </c>
      <c r="E173" t="s">
        <v>484</v>
      </c>
      <c r="F173" s="9" t="s">
        <v>649</v>
      </c>
    </row>
    <row r="174" ht="29" customHeight="1" spans="1:6" x14ac:dyDescent="0.25">
      <c r="A174" t="s">
        <v>15</v>
      </c>
      <c r="B174" t="s">
        <v>331</v>
      </c>
      <c r="C174" t="s">
        <v>332</v>
      </c>
      <c r="D174">
        <v>2</v>
      </c>
      <c r="E174" t="s">
        <v>478</v>
      </c>
      <c r="F174" s="9" t="s">
        <v>650</v>
      </c>
    </row>
    <row r="175" spans="1:6" x14ac:dyDescent="0.25">
      <c r="A175" t="s">
        <v>15</v>
      </c>
      <c r="B175" t="s">
        <v>331</v>
      </c>
      <c r="C175" t="s">
        <v>332</v>
      </c>
      <c r="D175">
        <v>3</v>
      </c>
      <c r="E175" t="s">
        <v>480</v>
      </c>
      <c r="F175" s="9" t="s">
        <v>651</v>
      </c>
    </row>
    <row r="176" ht="29" customHeight="1" spans="1:6" x14ac:dyDescent="0.25">
      <c r="A176" t="s">
        <v>15</v>
      </c>
      <c r="B176" t="s">
        <v>331</v>
      </c>
      <c r="C176" t="s">
        <v>332</v>
      </c>
      <c r="D176">
        <v>4</v>
      </c>
      <c r="E176" t="s">
        <v>482</v>
      </c>
      <c r="F176" s="9" t="s">
        <v>652</v>
      </c>
    </row>
    <row r="177" ht="29" customHeight="1" spans="1:6" x14ac:dyDescent="0.25">
      <c r="A177" t="s">
        <v>15</v>
      </c>
      <c r="B177" t="s">
        <v>331</v>
      </c>
      <c r="C177" t="s">
        <v>332</v>
      </c>
      <c r="D177">
        <v>5</v>
      </c>
      <c r="E177" t="s">
        <v>484</v>
      </c>
      <c r="F177" s="9" t="s">
        <v>653</v>
      </c>
    </row>
    <row r="178" ht="29" customHeight="1" spans="1:6" x14ac:dyDescent="0.25">
      <c r="A178" t="s">
        <v>15</v>
      </c>
      <c r="B178" t="s">
        <v>338</v>
      </c>
      <c r="C178" t="s">
        <v>339</v>
      </c>
      <c r="D178">
        <v>2</v>
      </c>
      <c r="E178" t="s">
        <v>478</v>
      </c>
      <c r="F178" s="9" t="s">
        <v>654</v>
      </c>
    </row>
    <row r="179" spans="1:6" x14ac:dyDescent="0.25">
      <c r="A179" t="s">
        <v>15</v>
      </c>
      <c r="B179" t="s">
        <v>338</v>
      </c>
      <c r="C179" t="s">
        <v>339</v>
      </c>
      <c r="D179">
        <v>3</v>
      </c>
      <c r="E179" t="s">
        <v>480</v>
      </c>
      <c r="F179" s="9" t="s">
        <v>655</v>
      </c>
    </row>
    <row r="180" ht="29" customHeight="1" spans="1:6" x14ac:dyDescent="0.25">
      <c r="A180" t="s">
        <v>15</v>
      </c>
      <c r="B180" t="s">
        <v>338</v>
      </c>
      <c r="C180" t="s">
        <v>339</v>
      </c>
      <c r="D180">
        <v>4</v>
      </c>
      <c r="E180" t="s">
        <v>482</v>
      </c>
      <c r="F180" s="9" t="s">
        <v>656</v>
      </c>
    </row>
    <row r="181" ht="29" customHeight="1" spans="1:6" x14ac:dyDescent="0.25">
      <c r="A181" t="s">
        <v>15</v>
      </c>
      <c r="B181" t="s">
        <v>338</v>
      </c>
      <c r="C181" t="s">
        <v>339</v>
      </c>
      <c r="D181">
        <v>5</v>
      </c>
      <c r="E181" t="s">
        <v>484</v>
      </c>
      <c r="F181" s="9" t="s">
        <v>657</v>
      </c>
    </row>
    <row r="182" spans="1:6" x14ac:dyDescent="0.25">
      <c r="A182" t="s">
        <v>15</v>
      </c>
      <c r="B182" t="s">
        <v>345</v>
      </c>
      <c r="C182" t="s">
        <v>346</v>
      </c>
      <c r="D182">
        <v>2</v>
      </c>
      <c r="E182" t="s">
        <v>478</v>
      </c>
      <c r="F182" s="9" t="s">
        <v>658</v>
      </c>
    </row>
    <row r="183" spans="1:6" x14ac:dyDescent="0.25">
      <c r="A183" t="s">
        <v>15</v>
      </c>
      <c r="B183" t="s">
        <v>345</v>
      </c>
      <c r="C183" t="s">
        <v>346</v>
      </c>
      <c r="D183">
        <v>3</v>
      </c>
      <c r="E183" t="s">
        <v>480</v>
      </c>
      <c r="F183" s="9" t="s">
        <v>659</v>
      </c>
    </row>
    <row r="184" spans="1:6" x14ac:dyDescent="0.25">
      <c r="A184" t="s">
        <v>15</v>
      </c>
      <c r="B184" t="s">
        <v>345</v>
      </c>
      <c r="C184" t="s">
        <v>346</v>
      </c>
      <c r="D184">
        <v>4</v>
      </c>
      <c r="E184" t="s">
        <v>482</v>
      </c>
      <c r="F184" s="9" t="s">
        <v>660</v>
      </c>
    </row>
    <row r="185" ht="29" customHeight="1" spans="1:6" x14ac:dyDescent="0.25">
      <c r="A185" t="s">
        <v>15</v>
      </c>
      <c r="B185" t="s">
        <v>345</v>
      </c>
      <c r="C185" t="s">
        <v>346</v>
      </c>
      <c r="D185">
        <v>5</v>
      </c>
      <c r="E185" t="s">
        <v>484</v>
      </c>
      <c r="F185" s="9" t="s">
        <v>661</v>
      </c>
    </row>
    <row r="186" spans="1:6" x14ac:dyDescent="0.25">
      <c r="A186" t="s">
        <v>15</v>
      </c>
      <c r="B186" t="s">
        <v>352</v>
      </c>
      <c r="C186" t="s">
        <v>353</v>
      </c>
      <c r="D186">
        <v>2</v>
      </c>
      <c r="E186" t="s">
        <v>478</v>
      </c>
      <c r="F186" s="9" t="s">
        <v>662</v>
      </c>
    </row>
    <row r="187" ht="29" customHeight="1" spans="1:6" x14ac:dyDescent="0.25">
      <c r="A187" t="s">
        <v>15</v>
      </c>
      <c r="B187" t="s">
        <v>352</v>
      </c>
      <c r="C187" t="s">
        <v>353</v>
      </c>
      <c r="D187">
        <v>3</v>
      </c>
      <c r="E187" t="s">
        <v>480</v>
      </c>
      <c r="F187" s="9" t="s">
        <v>663</v>
      </c>
    </row>
    <row r="188" ht="29" customHeight="1" spans="1:6" x14ac:dyDescent="0.25">
      <c r="A188" t="s">
        <v>15</v>
      </c>
      <c r="B188" t="s">
        <v>352</v>
      </c>
      <c r="C188" t="s">
        <v>353</v>
      </c>
      <c r="D188">
        <v>4</v>
      </c>
      <c r="E188" t="s">
        <v>482</v>
      </c>
      <c r="F188" s="9" t="s">
        <v>664</v>
      </c>
    </row>
    <row r="189" ht="29" customHeight="1" spans="1:6" x14ac:dyDescent="0.25">
      <c r="A189" t="s">
        <v>15</v>
      </c>
      <c r="B189" t="s">
        <v>352</v>
      </c>
      <c r="C189" t="s">
        <v>353</v>
      </c>
      <c r="D189">
        <v>5</v>
      </c>
      <c r="E189" t="s">
        <v>484</v>
      </c>
      <c r="F189" s="9" t="s">
        <v>665</v>
      </c>
    </row>
    <row r="190" spans="1:6" x14ac:dyDescent="0.25">
      <c r="A190" t="s">
        <v>15</v>
      </c>
      <c r="B190" t="s">
        <v>359</v>
      </c>
      <c r="C190" t="s">
        <v>360</v>
      </c>
      <c r="D190">
        <v>2</v>
      </c>
      <c r="E190" t="s">
        <v>478</v>
      </c>
      <c r="F190" s="9" t="s">
        <v>666</v>
      </c>
    </row>
    <row r="191" spans="1:6" x14ac:dyDescent="0.25">
      <c r="A191" t="s">
        <v>15</v>
      </c>
      <c r="B191" t="s">
        <v>359</v>
      </c>
      <c r="C191" t="s">
        <v>360</v>
      </c>
      <c r="D191">
        <v>3</v>
      </c>
      <c r="E191" t="s">
        <v>480</v>
      </c>
      <c r="F191" s="9" t="s">
        <v>667</v>
      </c>
    </row>
    <row r="192" spans="1:6" x14ac:dyDescent="0.25">
      <c r="A192" t="s">
        <v>15</v>
      </c>
      <c r="B192" t="s">
        <v>359</v>
      </c>
      <c r="C192" t="s">
        <v>360</v>
      </c>
      <c r="D192">
        <v>4</v>
      </c>
      <c r="E192" t="s">
        <v>482</v>
      </c>
      <c r="F192" s="9" t="s">
        <v>668</v>
      </c>
    </row>
    <row r="193" spans="1:6" x14ac:dyDescent="0.25">
      <c r="A193" t="s">
        <v>15</v>
      </c>
      <c r="B193" t="s">
        <v>359</v>
      </c>
      <c r="C193" t="s">
        <v>360</v>
      </c>
      <c r="D193">
        <v>5</v>
      </c>
      <c r="E193" t="s">
        <v>484</v>
      </c>
      <c r="F193" s="9" t="s">
        <v>669</v>
      </c>
    </row>
    <row r="194" spans="1:6" x14ac:dyDescent="0.25">
      <c r="A194" t="s">
        <v>15</v>
      </c>
      <c r="B194" t="s">
        <v>366</v>
      </c>
      <c r="C194" t="s">
        <v>367</v>
      </c>
      <c r="D194">
        <v>2</v>
      </c>
      <c r="E194" t="s">
        <v>478</v>
      </c>
      <c r="F194" s="9" t="s">
        <v>670</v>
      </c>
    </row>
    <row r="195" spans="1:6" x14ac:dyDescent="0.25">
      <c r="A195" t="s">
        <v>15</v>
      </c>
      <c r="B195" t="s">
        <v>366</v>
      </c>
      <c r="C195" t="s">
        <v>367</v>
      </c>
      <c r="D195">
        <v>3</v>
      </c>
      <c r="E195" t="s">
        <v>480</v>
      </c>
      <c r="F195" s="9" t="s">
        <v>671</v>
      </c>
    </row>
    <row r="196" spans="1:6" x14ac:dyDescent="0.25">
      <c r="A196" t="s">
        <v>15</v>
      </c>
      <c r="B196" t="s">
        <v>366</v>
      </c>
      <c r="C196" t="s">
        <v>367</v>
      </c>
      <c r="D196">
        <v>4</v>
      </c>
      <c r="E196" t="s">
        <v>482</v>
      </c>
      <c r="F196" s="9" t="s">
        <v>668</v>
      </c>
    </row>
    <row r="197" spans="1:6" x14ac:dyDescent="0.25">
      <c r="A197" t="s">
        <v>15</v>
      </c>
      <c r="B197" t="s">
        <v>366</v>
      </c>
      <c r="C197" t="s">
        <v>367</v>
      </c>
      <c r="D197">
        <v>5</v>
      </c>
      <c r="E197" t="s">
        <v>484</v>
      </c>
      <c r="F197" s="9" t="s">
        <v>669</v>
      </c>
    </row>
    <row r="198" ht="29" customHeight="1" spans="1:6" x14ac:dyDescent="0.25">
      <c r="A198" t="s">
        <v>15</v>
      </c>
      <c r="B198" t="s">
        <v>373</v>
      </c>
      <c r="C198" t="s">
        <v>374</v>
      </c>
      <c r="D198">
        <v>2</v>
      </c>
      <c r="E198" t="s">
        <v>478</v>
      </c>
      <c r="F198" s="9" t="s">
        <v>672</v>
      </c>
    </row>
    <row r="199" spans="1:6" x14ac:dyDescent="0.25">
      <c r="A199" t="s">
        <v>15</v>
      </c>
      <c r="B199" t="s">
        <v>373</v>
      </c>
      <c r="C199" t="s">
        <v>374</v>
      </c>
      <c r="D199">
        <v>3</v>
      </c>
      <c r="E199" t="s">
        <v>480</v>
      </c>
      <c r="F199" s="9" t="s">
        <v>673</v>
      </c>
    </row>
    <row r="200" ht="29" customHeight="1" spans="1:6" x14ac:dyDescent="0.25">
      <c r="A200" t="s">
        <v>15</v>
      </c>
      <c r="B200" t="s">
        <v>373</v>
      </c>
      <c r="C200" t="s">
        <v>374</v>
      </c>
      <c r="D200">
        <v>4</v>
      </c>
      <c r="E200" t="s">
        <v>482</v>
      </c>
      <c r="F200" s="9" t="s">
        <v>674</v>
      </c>
    </row>
    <row r="201" spans="1:6" x14ac:dyDescent="0.25">
      <c r="A201" t="s">
        <v>15</v>
      </c>
      <c r="B201" t="s">
        <v>373</v>
      </c>
      <c r="C201" t="s">
        <v>374</v>
      </c>
      <c r="D201">
        <v>5</v>
      </c>
      <c r="E201" t="s">
        <v>484</v>
      </c>
      <c r="F201" s="9" t="s">
        <v>675</v>
      </c>
    </row>
    <row r="202" ht="29" customHeight="1" spans="1:6" x14ac:dyDescent="0.25">
      <c r="A202" t="s">
        <v>15</v>
      </c>
      <c r="B202" t="s">
        <v>382</v>
      </c>
      <c r="C202" t="s">
        <v>383</v>
      </c>
      <c r="D202">
        <v>2</v>
      </c>
      <c r="E202" t="s">
        <v>478</v>
      </c>
      <c r="F202" s="9" t="s">
        <v>676</v>
      </c>
    </row>
    <row r="203" spans="1:6" x14ac:dyDescent="0.25">
      <c r="A203" t="s">
        <v>15</v>
      </c>
      <c r="B203" t="s">
        <v>382</v>
      </c>
      <c r="C203" t="s">
        <v>383</v>
      </c>
      <c r="D203">
        <v>3</v>
      </c>
      <c r="E203" t="s">
        <v>480</v>
      </c>
      <c r="F203" s="9" t="s">
        <v>677</v>
      </c>
    </row>
    <row r="204" spans="1:6" x14ac:dyDescent="0.25">
      <c r="A204" t="s">
        <v>15</v>
      </c>
      <c r="B204" t="s">
        <v>382</v>
      </c>
      <c r="C204" t="s">
        <v>383</v>
      </c>
      <c r="D204">
        <v>4</v>
      </c>
      <c r="E204" t="s">
        <v>482</v>
      </c>
      <c r="F204" s="9" t="s">
        <v>678</v>
      </c>
    </row>
    <row r="205" ht="29" customHeight="1" spans="1:6" x14ac:dyDescent="0.25">
      <c r="A205" t="s">
        <v>15</v>
      </c>
      <c r="B205" t="s">
        <v>382</v>
      </c>
      <c r="C205" t="s">
        <v>383</v>
      </c>
      <c r="D205">
        <v>5</v>
      </c>
      <c r="E205" t="s">
        <v>484</v>
      </c>
      <c r="F205" s="9" t="s">
        <v>679</v>
      </c>
    </row>
    <row r="206" spans="1:6" x14ac:dyDescent="0.25">
      <c r="A206" t="s">
        <v>15</v>
      </c>
      <c r="B206" t="s">
        <v>389</v>
      </c>
      <c r="C206" t="s">
        <v>390</v>
      </c>
      <c r="D206">
        <v>2</v>
      </c>
      <c r="E206" t="s">
        <v>478</v>
      </c>
      <c r="F206" s="9" t="s">
        <v>680</v>
      </c>
    </row>
    <row r="207" ht="29" customHeight="1" spans="1:6" x14ac:dyDescent="0.25">
      <c r="A207" t="s">
        <v>15</v>
      </c>
      <c r="B207" t="s">
        <v>389</v>
      </c>
      <c r="C207" t="s">
        <v>390</v>
      </c>
      <c r="D207">
        <v>3</v>
      </c>
      <c r="E207" t="s">
        <v>480</v>
      </c>
      <c r="F207" s="9" t="s">
        <v>681</v>
      </c>
    </row>
    <row r="208" ht="29" customHeight="1" spans="1:6" x14ac:dyDescent="0.25">
      <c r="A208" t="s">
        <v>15</v>
      </c>
      <c r="B208" t="s">
        <v>389</v>
      </c>
      <c r="C208" t="s">
        <v>390</v>
      </c>
      <c r="D208">
        <v>4</v>
      </c>
      <c r="E208" t="s">
        <v>482</v>
      </c>
      <c r="F208" s="9" t="s">
        <v>682</v>
      </c>
    </row>
    <row r="209" spans="1:6" x14ac:dyDescent="0.25">
      <c r="A209" t="s">
        <v>15</v>
      </c>
      <c r="B209" t="s">
        <v>389</v>
      </c>
      <c r="C209" t="s">
        <v>390</v>
      </c>
      <c r="D209">
        <v>5</v>
      </c>
      <c r="E209" t="s">
        <v>484</v>
      </c>
      <c r="F209" s="9" t="s">
        <v>683</v>
      </c>
    </row>
    <row r="210" ht="29" customHeight="1" spans="1:6" x14ac:dyDescent="0.25">
      <c r="A210" t="s">
        <v>15</v>
      </c>
      <c r="B210" t="s">
        <v>396</v>
      </c>
      <c r="C210" t="s">
        <v>397</v>
      </c>
      <c r="D210">
        <v>2</v>
      </c>
      <c r="E210" t="s">
        <v>478</v>
      </c>
      <c r="F210" s="9" t="s">
        <v>684</v>
      </c>
    </row>
    <row r="211" spans="1:6" x14ac:dyDescent="0.25">
      <c r="A211" t="s">
        <v>15</v>
      </c>
      <c r="B211" t="s">
        <v>396</v>
      </c>
      <c r="C211" t="s">
        <v>397</v>
      </c>
      <c r="D211">
        <v>3</v>
      </c>
      <c r="E211" t="s">
        <v>480</v>
      </c>
      <c r="F211" s="9" t="s">
        <v>685</v>
      </c>
    </row>
    <row r="212" ht="29" customHeight="1" spans="1:6" x14ac:dyDescent="0.25">
      <c r="A212" t="s">
        <v>15</v>
      </c>
      <c r="B212" t="s">
        <v>396</v>
      </c>
      <c r="C212" t="s">
        <v>397</v>
      </c>
      <c r="D212">
        <v>4</v>
      </c>
      <c r="E212" t="s">
        <v>482</v>
      </c>
      <c r="F212" s="9" t="s">
        <v>686</v>
      </c>
    </row>
    <row r="213" ht="29" customHeight="1" spans="1:6" x14ac:dyDescent="0.25">
      <c r="A213" t="s">
        <v>15</v>
      </c>
      <c r="B213" t="s">
        <v>396</v>
      </c>
      <c r="C213" t="s">
        <v>397</v>
      </c>
      <c r="D213">
        <v>5</v>
      </c>
      <c r="E213" t="s">
        <v>484</v>
      </c>
      <c r="F213" s="9" t="s">
        <v>687</v>
      </c>
    </row>
    <row r="214" ht="29" customHeight="1" spans="1:6" x14ac:dyDescent="0.25">
      <c r="A214" t="s">
        <v>15</v>
      </c>
      <c r="B214" t="s">
        <v>403</v>
      </c>
      <c r="C214" t="s">
        <v>404</v>
      </c>
      <c r="D214">
        <v>2</v>
      </c>
      <c r="E214" t="s">
        <v>478</v>
      </c>
      <c r="F214" s="9" t="s">
        <v>688</v>
      </c>
    </row>
    <row r="215" spans="1:6" x14ac:dyDescent="0.25">
      <c r="A215" t="s">
        <v>15</v>
      </c>
      <c r="B215" t="s">
        <v>403</v>
      </c>
      <c r="C215" t="s">
        <v>404</v>
      </c>
      <c r="D215">
        <v>3</v>
      </c>
      <c r="E215" t="s">
        <v>480</v>
      </c>
      <c r="F215" s="9" t="s">
        <v>689</v>
      </c>
    </row>
    <row r="216" spans="1:6" x14ac:dyDescent="0.25">
      <c r="A216" t="s">
        <v>15</v>
      </c>
      <c r="B216" t="s">
        <v>403</v>
      </c>
      <c r="C216" t="s">
        <v>404</v>
      </c>
      <c r="D216">
        <v>4</v>
      </c>
      <c r="E216" t="s">
        <v>482</v>
      </c>
      <c r="F216" s="9" t="s">
        <v>690</v>
      </c>
    </row>
    <row r="217" spans="1:6" x14ac:dyDescent="0.25">
      <c r="A217" t="s">
        <v>15</v>
      </c>
      <c r="B217" t="s">
        <v>403</v>
      </c>
      <c r="C217" t="s">
        <v>404</v>
      </c>
      <c r="D217">
        <v>5</v>
      </c>
      <c r="E217" t="s">
        <v>484</v>
      </c>
      <c r="F217" s="9" t="s">
        <v>691</v>
      </c>
    </row>
    <row r="218" ht="29" customHeight="1" spans="1:6" x14ac:dyDescent="0.25">
      <c r="A218" t="s">
        <v>15</v>
      </c>
      <c r="B218" t="s">
        <v>412</v>
      </c>
      <c r="C218" t="s">
        <v>413</v>
      </c>
      <c r="D218">
        <v>2</v>
      </c>
      <c r="E218" t="s">
        <v>478</v>
      </c>
      <c r="F218" s="9" t="s">
        <v>692</v>
      </c>
    </row>
    <row r="219" ht="29" customHeight="1" spans="1:6" x14ac:dyDescent="0.25">
      <c r="A219" t="s">
        <v>15</v>
      </c>
      <c r="B219" t="s">
        <v>412</v>
      </c>
      <c r="C219" t="s">
        <v>413</v>
      </c>
      <c r="D219">
        <v>3</v>
      </c>
      <c r="E219" t="s">
        <v>480</v>
      </c>
      <c r="F219" s="9" t="s">
        <v>693</v>
      </c>
    </row>
    <row r="220" ht="29" customHeight="1" spans="1:6" x14ac:dyDescent="0.25">
      <c r="A220" t="s">
        <v>15</v>
      </c>
      <c r="B220" t="s">
        <v>412</v>
      </c>
      <c r="C220" t="s">
        <v>413</v>
      </c>
      <c r="D220">
        <v>4</v>
      </c>
      <c r="E220" t="s">
        <v>482</v>
      </c>
      <c r="F220" s="9" t="s">
        <v>694</v>
      </c>
    </row>
    <row r="221" ht="29" customHeight="1" spans="1:6" x14ac:dyDescent="0.25">
      <c r="A221" t="s">
        <v>15</v>
      </c>
      <c r="B221" t="s">
        <v>412</v>
      </c>
      <c r="C221" t="s">
        <v>413</v>
      </c>
      <c r="D221">
        <v>5</v>
      </c>
      <c r="E221" t="s">
        <v>484</v>
      </c>
      <c r="F221" s="9" t="s">
        <v>695</v>
      </c>
    </row>
    <row r="222" ht="29" customHeight="1" spans="1:6" x14ac:dyDescent="0.25">
      <c r="A222" t="s">
        <v>15</v>
      </c>
      <c r="B222" t="s">
        <v>419</v>
      </c>
      <c r="C222" t="s">
        <v>420</v>
      </c>
      <c r="D222">
        <v>2</v>
      </c>
      <c r="E222" t="s">
        <v>478</v>
      </c>
      <c r="F222" s="9" t="s">
        <v>696</v>
      </c>
    </row>
    <row r="223" ht="29" customHeight="1" spans="1:6" x14ac:dyDescent="0.25">
      <c r="A223" t="s">
        <v>15</v>
      </c>
      <c r="B223" t="s">
        <v>419</v>
      </c>
      <c r="C223" t="s">
        <v>420</v>
      </c>
      <c r="D223">
        <v>3</v>
      </c>
      <c r="E223" t="s">
        <v>480</v>
      </c>
      <c r="F223" s="9" t="s">
        <v>697</v>
      </c>
    </row>
    <row r="224" ht="29" customHeight="1" spans="1:6" x14ac:dyDescent="0.25">
      <c r="A224" t="s">
        <v>15</v>
      </c>
      <c r="B224" t="s">
        <v>419</v>
      </c>
      <c r="C224" t="s">
        <v>420</v>
      </c>
      <c r="D224">
        <v>4</v>
      </c>
      <c r="E224" t="s">
        <v>482</v>
      </c>
      <c r="F224" s="9" t="s">
        <v>698</v>
      </c>
    </row>
    <row r="225" ht="29" customHeight="1" spans="1:6" x14ac:dyDescent="0.25">
      <c r="A225" t="s">
        <v>15</v>
      </c>
      <c r="B225" t="s">
        <v>419</v>
      </c>
      <c r="C225" t="s">
        <v>420</v>
      </c>
      <c r="D225">
        <v>5</v>
      </c>
      <c r="E225" t="s">
        <v>484</v>
      </c>
      <c r="F225" s="9" t="s">
        <v>699</v>
      </c>
    </row>
    <row r="226" spans="1:6" x14ac:dyDescent="0.25">
      <c r="A226" t="s">
        <v>15</v>
      </c>
      <c r="B226" t="s">
        <v>426</v>
      </c>
      <c r="C226" t="s">
        <v>427</v>
      </c>
      <c r="D226">
        <v>2</v>
      </c>
      <c r="E226" t="s">
        <v>478</v>
      </c>
      <c r="F226" s="9" t="s">
        <v>700</v>
      </c>
    </row>
    <row r="227" spans="1:6" x14ac:dyDescent="0.25">
      <c r="A227" t="s">
        <v>15</v>
      </c>
      <c r="B227" t="s">
        <v>426</v>
      </c>
      <c r="C227" t="s">
        <v>427</v>
      </c>
      <c r="D227">
        <v>3</v>
      </c>
      <c r="E227" t="s">
        <v>480</v>
      </c>
      <c r="F227" s="9" t="s">
        <v>701</v>
      </c>
    </row>
    <row r="228" spans="1:6" x14ac:dyDescent="0.25">
      <c r="A228" t="s">
        <v>15</v>
      </c>
      <c r="B228" t="s">
        <v>426</v>
      </c>
      <c r="C228" t="s">
        <v>427</v>
      </c>
      <c r="D228">
        <v>4</v>
      </c>
      <c r="E228" t="s">
        <v>482</v>
      </c>
      <c r="F228" s="9" t="s">
        <v>702</v>
      </c>
    </row>
    <row r="229" spans="1:6" x14ac:dyDescent="0.25">
      <c r="A229" t="s">
        <v>15</v>
      </c>
      <c r="B229" t="s">
        <v>426</v>
      </c>
      <c r="C229" t="s">
        <v>427</v>
      </c>
      <c r="D229">
        <v>5</v>
      </c>
      <c r="E229" t="s">
        <v>484</v>
      </c>
      <c r="F229" s="9" t="s">
        <v>703</v>
      </c>
    </row>
    <row r="230" spans="1:6" x14ac:dyDescent="0.25">
      <c r="A230" t="s">
        <v>15</v>
      </c>
      <c r="B230" t="s">
        <v>433</v>
      </c>
      <c r="C230" t="s">
        <v>434</v>
      </c>
      <c r="D230">
        <v>2</v>
      </c>
      <c r="E230" t="s">
        <v>478</v>
      </c>
      <c r="F230" s="9" t="s">
        <v>704</v>
      </c>
    </row>
    <row r="231" spans="1:6" x14ac:dyDescent="0.25">
      <c r="A231" t="s">
        <v>15</v>
      </c>
      <c r="B231" t="s">
        <v>433</v>
      </c>
      <c r="C231" t="s">
        <v>434</v>
      </c>
      <c r="D231">
        <v>3</v>
      </c>
      <c r="E231" t="s">
        <v>480</v>
      </c>
      <c r="F231" s="9" t="s">
        <v>705</v>
      </c>
    </row>
    <row r="232" spans="1:6" x14ac:dyDescent="0.25">
      <c r="A232" t="s">
        <v>15</v>
      </c>
      <c r="B232" t="s">
        <v>433</v>
      </c>
      <c r="C232" t="s">
        <v>434</v>
      </c>
      <c r="D232">
        <v>4</v>
      </c>
      <c r="E232" t="s">
        <v>482</v>
      </c>
      <c r="F232" s="9" t="s">
        <v>706</v>
      </c>
    </row>
    <row r="233" ht="29" customHeight="1" spans="1:6" x14ac:dyDescent="0.25">
      <c r="A233" t="s">
        <v>15</v>
      </c>
      <c r="B233" t="s">
        <v>433</v>
      </c>
      <c r="C233" t="s">
        <v>434</v>
      </c>
      <c r="D233">
        <v>5</v>
      </c>
      <c r="E233" t="s">
        <v>484</v>
      </c>
      <c r="F233" s="9" t="s">
        <v>707</v>
      </c>
    </row>
    <row r="234" spans="1:6" x14ac:dyDescent="0.25">
      <c r="A234" t="s">
        <v>15</v>
      </c>
      <c r="B234" t="s">
        <v>440</v>
      </c>
      <c r="C234" t="s">
        <v>441</v>
      </c>
      <c r="D234">
        <v>2</v>
      </c>
      <c r="E234" t="s">
        <v>478</v>
      </c>
      <c r="F234" s="9" t="s">
        <v>708</v>
      </c>
    </row>
    <row r="235" spans="1:6" x14ac:dyDescent="0.25">
      <c r="A235" t="s">
        <v>15</v>
      </c>
      <c r="B235" t="s">
        <v>440</v>
      </c>
      <c r="C235" t="s">
        <v>441</v>
      </c>
      <c r="D235">
        <v>3</v>
      </c>
      <c r="E235" t="s">
        <v>480</v>
      </c>
      <c r="F235" s="9" t="s">
        <v>709</v>
      </c>
    </row>
    <row r="236" spans="1:6" x14ac:dyDescent="0.25">
      <c r="A236" t="s">
        <v>15</v>
      </c>
      <c r="B236" t="s">
        <v>440</v>
      </c>
      <c r="C236" t="s">
        <v>441</v>
      </c>
      <c r="D236">
        <v>4</v>
      </c>
      <c r="E236" t="s">
        <v>482</v>
      </c>
      <c r="F236" s="9" t="s">
        <v>710</v>
      </c>
    </row>
    <row r="237" ht="29" customHeight="1" spans="1:6" x14ac:dyDescent="0.25">
      <c r="A237" t="s">
        <v>15</v>
      </c>
      <c r="B237" t="s">
        <v>440</v>
      </c>
      <c r="C237" t="s">
        <v>441</v>
      </c>
      <c r="D237">
        <v>5</v>
      </c>
      <c r="E237" t="s">
        <v>484</v>
      </c>
      <c r="F237" s="9" t="s">
        <v>711</v>
      </c>
    </row>
    <row r="238" spans="1:6" x14ac:dyDescent="0.25">
      <c r="A238" t="s">
        <v>15</v>
      </c>
      <c r="B238" t="s">
        <v>447</v>
      </c>
      <c r="C238" t="s">
        <v>448</v>
      </c>
      <c r="D238">
        <v>2</v>
      </c>
      <c r="E238" t="s">
        <v>478</v>
      </c>
      <c r="F238" s="9" t="s">
        <v>712</v>
      </c>
    </row>
    <row r="239" ht="29" customHeight="1" spans="1:6" x14ac:dyDescent="0.25">
      <c r="A239" t="s">
        <v>15</v>
      </c>
      <c r="B239" t="s">
        <v>447</v>
      </c>
      <c r="C239" t="s">
        <v>448</v>
      </c>
      <c r="D239">
        <v>3</v>
      </c>
      <c r="E239" t="s">
        <v>480</v>
      </c>
      <c r="F239" s="9" t="s">
        <v>713</v>
      </c>
    </row>
    <row r="240" spans="1:6" x14ac:dyDescent="0.25">
      <c r="A240" t="s">
        <v>15</v>
      </c>
      <c r="B240" t="s">
        <v>447</v>
      </c>
      <c r="C240" t="s">
        <v>448</v>
      </c>
      <c r="D240">
        <v>4</v>
      </c>
      <c r="E240" t="s">
        <v>482</v>
      </c>
      <c r="F240" s="9" t="s">
        <v>714</v>
      </c>
    </row>
    <row r="241" spans="1:6" x14ac:dyDescent="0.25">
      <c r="A241" t="s">
        <v>15</v>
      </c>
      <c r="B241" t="s">
        <v>447</v>
      </c>
      <c r="C241" t="s">
        <v>448</v>
      </c>
      <c r="D241">
        <v>5</v>
      </c>
      <c r="E241" t="s">
        <v>484</v>
      </c>
      <c r="F241" s="9" t="s">
        <v>715</v>
      </c>
    </row>
    <row r="242" spans="1:6" x14ac:dyDescent="0.25">
      <c r="A242" t="s">
        <v>15</v>
      </c>
      <c r="B242" t="s">
        <v>454</v>
      </c>
      <c r="C242" t="s">
        <v>455</v>
      </c>
      <c r="D242">
        <v>2</v>
      </c>
      <c r="E242" t="s">
        <v>478</v>
      </c>
      <c r="F242" s="9" t="s">
        <v>716</v>
      </c>
    </row>
    <row r="243" spans="1:6" x14ac:dyDescent="0.25">
      <c r="A243" t="s">
        <v>15</v>
      </c>
      <c r="B243" t="s">
        <v>454</v>
      </c>
      <c r="C243" t="s">
        <v>455</v>
      </c>
      <c r="D243">
        <v>3</v>
      </c>
      <c r="E243" t="s">
        <v>480</v>
      </c>
      <c r="F243" s="9" t="s">
        <v>717</v>
      </c>
    </row>
    <row r="244" spans="1:6" x14ac:dyDescent="0.25">
      <c r="A244" t="s">
        <v>15</v>
      </c>
      <c r="B244" t="s">
        <v>454</v>
      </c>
      <c r="C244" t="s">
        <v>455</v>
      </c>
      <c r="D244">
        <v>4</v>
      </c>
      <c r="E244" t="s">
        <v>482</v>
      </c>
      <c r="F244" s="9" t="s">
        <v>718</v>
      </c>
    </row>
    <row r="245" spans="1:6" x14ac:dyDescent="0.25">
      <c r="A245" t="s">
        <v>15</v>
      </c>
      <c r="B245" t="s">
        <v>454</v>
      </c>
      <c r="C245" t="s">
        <v>455</v>
      </c>
      <c r="D245">
        <v>5</v>
      </c>
      <c r="E245" t="s">
        <v>484</v>
      </c>
      <c r="F245" s="9" t="s">
        <v>715</v>
      </c>
    </row>
    <row r="246" spans="1:6" x14ac:dyDescent="0.25">
      <c r="A246" t="s">
        <v>15</v>
      </c>
      <c r="B246" t="s">
        <v>461</v>
      </c>
      <c r="C246" t="s">
        <v>462</v>
      </c>
      <c r="D246">
        <v>2</v>
      </c>
      <c r="E246" t="s">
        <v>478</v>
      </c>
      <c r="F246" s="9" t="s">
        <v>719</v>
      </c>
    </row>
    <row r="247" spans="1:6" x14ac:dyDescent="0.25">
      <c r="A247" t="s">
        <v>15</v>
      </c>
      <c r="B247" t="s">
        <v>461</v>
      </c>
      <c r="C247" t="s">
        <v>462</v>
      </c>
      <c r="D247">
        <v>3</v>
      </c>
      <c r="E247" t="s">
        <v>480</v>
      </c>
      <c r="F247" s="9" t="s">
        <v>720</v>
      </c>
    </row>
    <row r="248" spans="1:6" x14ac:dyDescent="0.25">
      <c r="A248" t="s">
        <v>15</v>
      </c>
      <c r="B248" t="s">
        <v>461</v>
      </c>
      <c r="C248" t="s">
        <v>462</v>
      </c>
      <c r="D248">
        <v>4</v>
      </c>
      <c r="E248" t="s">
        <v>482</v>
      </c>
      <c r="F248" s="9" t="s">
        <v>721</v>
      </c>
    </row>
    <row r="249" spans="1:6" x14ac:dyDescent="0.25">
      <c r="A249" t="s">
        <v>15</v>
      </c>
      <c r="B249" t="s">
        <v>461</v>
      </c>
      <c r="C249" t="s">
        <v>462</v>
      </c>
      <c r="D249">
        <v>5</v>
      </c>
      <c r="E249" t="s">
        <v>484</v>
      </c>
      <c r="F249" s="9" t="s">
        <v>722</v>
      </c>
    </row>
    <row r="250" spans="1:6" x14ac:dyDescent="0.25">
      <c r="A250" t="s">
        <v>15</v>
      </c>
      <c r="B250" t="s">
        <v>468</v>
      </c>
      <c r="C250" t="s">
        <v>469</v>
      </c>
      <c r="D250">
        <v>2</v>
      </c>
      <c r="E250" t="s">
        <v>478</v>
      </c>
      <c r="F250" s="9" t="s">
        <v>723</v>
      </c>
    </row>
    <row r="251" spans="1:6" x14ac:dyDescent="0.25">
      <c r="A251" t="s">
        <v>15</v>
      </c>
      <c r="B251" t="s">
        <v>468</v>
      </c>
      <c r="C251" t="s">
        <v>469</v>
      </c>
      <c r="D251">
        <v>3</v>
      </c>
      <c r="E251" t="s">
        <v>480</v>
      </c>
      <c r="F251" s="9" t="s">
        <v>724</v>
      </c>
    </row>
    <row r="252" spans="1:6" x14ac:dyDescent="0.25">
      <c r="A252" t="s">
        <v>15</v>
      </c>
      <c r="B252" t="s">
        <v>468</v>
      </c>
      <c r="C252" t="s">
        <v>469</v>
      </c>
      <c r="D252">
        <v>4</v>
      </c>
      <c r="E252" t="s">
        <v>482</v>
      </c>
      <c r="F252" s="9" t="s">
        <v>725</v>
      </c>
    </row>
    <row r="253" spans="1:6" x14ac:dyDescent="0.25">
      <c r="A253" t="s">
        <v>15</v>
      </c>
      <c r="B253" t="s">
        <v>468</v>
      </c>
      <c r="C253" t="s">
        <v>469</v>
      </c>
      <c r="D253">
        <v>5</v>
      </c>
      <c r="E253" t="s">
        <v>484</v>
      </c>
      <c r="F253" s="9" t="s">
        <v>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FormatPr defaultRowHeight="15" outlineLevelRow="0" outlineLevelCol="0" x14ac:dyDescent="55"/>
  <cols>
    <col min="1" max="1" width="14" customWidth="1"/>
    <col min="2" max="2" width="8" customWidth="1"/>
    <col min="3" max="3" width="36" customWidth="1"/>
    <col min="4" max="4" width="10" customWidth="1"/>
    <col min="5" max="5" width="42" customWidth="1"/>
    <col min="6" max="6" width="16" customWidth="1"/>
  </cols>
  <sheetData>
    <row r="1" spans="1:6" s="10" customFormat="1" x14ac:dyDescent="0.25">
      <c r="A1" s="10" t="s">
        <v>0</v>
      </c>
      <c r="B1" s="10" t="s">
        <v>2</v>
      </c>
      <c r="C1" s="10" t="s">
        <v>3</v>
      </c>
      <c r="D1" s="10" t="s">
        <v>5</v>
      </c>
      <c r="E1" s="10" t="s">
        <v>6</v>
      </c>
      <c r="F1" s="10" t="s">
        <v>727</v>
      </c>
    </row>
    <row r="2" spans="1:6" x14ac:dyDescent="0.25">
      <c r="A2" t="s">
        <v>15</v>
      </c>
      <c r="B2" t="s">
        <v>17</v>
      </c>
      <c r="C2" t="s">
        <v>18</v>
      </c>
      <c r="D2" t="s">
        <v>19</v>
      </c>
      <c r="E2" t="s">
        <v>20</v>
      </c>
      <c r="F2" t="s">
        <v>728</v>
      </c>
    </row>
    <row r="3" spans="1:6" x14ac:dyDescent="0.25">
      <c r="A3" t="s">
        <v>15</v>
      </c>
      <c r="B3" t="s">
        <v>17</v>
      </c>
      <c r="C3" t="s">
        <v>18</v>
      </c>
      <c r="D3" t="s">
        <v>27</v>
      </c>
      <c r="E3" t="s">
        <v>28</v>
      </c>
      <c r="F3" t="s">
        <v>728</v>
      </c>
    </row>
    <row r="4" spans="1:6" x14ac:dyDescent="0.25">
      <c r="A4" t="s">
        <v>15</v>
      </c>
      <c r="B4" t="s">
        <v>17</v>
      </c>
      <c r="C4" t="s">
        <v>18</v>
      </c>
      <c r="D4" t="s">
        <v>34</v>
      </c>
      <c r="E4" t="s">
        <v>35</v>
      </c>
      <c r="F4" t="s">
        <v>728</v>
      </c>
    </row>
    <row r="5" spans="1:6" x14ac:dyDescent="0.25">
      <c r="A5" t="s">
        <v>15</v>
      </c>
      <c r="B5" t="s">
        <v>17</v>
      </c>
      <c r="C5" t="s">
        <v>18</v>
      </c>
      <c r="D5" t="s">
        <v>41</v>
      </c>
      <c r="E5" t="s">
        <v>42</v>
      </c>
      <c r="F5" t="s">
        <v>728</v>
      </c>
    </row>
    <row r="6" spans="1:6" x14ac:dyDescent="0.25">
      <c r="A6" t="s">
        <v>15</v>
      </c>
      <c r="B6" t="s">
        <v>17</v>
      </c>
      <c r="C6" t="s">
        <v>18</v>
      </c>
      <c r="D6" t="s">
        <v>48</v>
      </c>
      <c r="E6" t="s">
        <v>49</v>
      </c>
      <c r="F6" t="s">
        <v>728</v>
      </c>
    </row>
    <row r="7" spans="1:6" x14ac:dyDescent="0.25">
      <c r="A7" t="s">
        <v>15</v>
      </c>
      <c r="B7" t="s">
        <v>17</v>
      </c>
      <c r="C7" t="s">
        <v>18</v>
      </c>
      <c r="D7" t="s">
        <v>55</v>
      </c>
      <c r="E7" t="s">
        <v>56</v>
      </c>
      <c r="F7" t="s">
        <v>728</v>
      </c>
    </row>
    <row r="8" spans="1:6" x14ac:dyDescent="0.25">
      <c r="A8" t="s">
        <v>15</v>
      </c>
      <c r="B8" t="s">
        <v>17</v>
      </c>
      <c r="C8" t="s">
        <v>18</v>
      </c>
      <c r="D8" t="s">
        <v>62</v>
      </c>
      <c r="E8" t="s">
        <v>63</v>
      </c>
      <c r="F8" t="s">
        <v>728</v>
      </c>
    </row>
    <row r="9" spans="1:6" x14ac:dyDescent="0.25">
      <c r="A9" t="s">
        <v>15</v>
      </c>
      <c r="B9" t="s">
        <v>17</v>
      </c>
      <c r="C9" t="s">
        <v>18</v>
      </c>
      <c r="D9" t="s">
        <v>69</v>
      </c>
      <c r="E9" t="s">
        <v>70</v>
      </c>
      <c r="F9" t="s">
        <v>728</v>
      </c>
    </row>
    <row r="10" spans="1:6" x14ac:dyDescent="0.25">
      <c r="A10" t="s">
        <v>15</v>
      </c>
      <c r="B10" t="s">
        <v>17</v>
      </c>
      <c r="C10" t="s">
        <v>18</v>
      </c>
      <c r="D10" t="s">
        <v>76</v>
      </c>
      <c r="E10" t="s">
        <v>77</v>
      </c>
      <c r="F10" t="s">
        <v>728</v>
      </c>
    </row>
    <row r="11" spans="1:6" x14ac:dyDescent="0.25">
      <c r="A11" t="s">
        <v>15</v>
      </c>
      <c r="B11" t="s">
        <v>17</v>
      </c>
      <c r="C11" t="s">
        <v>18</v>
      </c>
      <c r="D11" t="s">
        <v>83</v>
      </c>
      <c r="E11" t="s">
        <v>84</v>
      </c>
      <c r="F11" t="s">
        <v>728</v>
      </c>
    </row>
    <row r="12" spans="1:6" x14ac:dyDescent="0.25">
      <c r="A12" t="s">
        <v>15</v>
      </c>
      <c r="B12" t="s">
        <v>17</v>
      </c>
      <c r="C12" t="s">
        <v>18</v>
      </c>
      <c r="D12" t="s">
        <v>90</v>
      </c>
      <c r="E12" t="s">
        <v>91</v>
      </c>
      <c r="F12" t="s">
        <v>728</v>
      </c>
    </row>
    <row r="13" spans="1:6" x14ac:dyDescent="0.25">
      <c r="A13" t="s">
        <v>15</v>
      </c>
      <c r="B13" t="s">
        <v>97</v>
      </c>
      <c r="C13" t="s">
        <v>98</v>
      </c>
      <c r="D13" t="s">
        <v>99</v>
      </c>
      <c r="E13" t="s">
        <v>100</v>
      </c>
      <c r="F13" t="s">
        <v>728</v>
      </c>
    </row>
    <row r="14" spans="1:6" x14ac:dyDescent="0.25">
      <c r="A14" t="s">
        <v>15</v>
      </c>
      <c r="B14" t="s">
        <v>97</v>
      </c>
      <c r="C14" t="s">
        <v>98</v>
      </c>
      <c r="D14" t="s">
        <v>106</v>
      </c>
      <c r="E14" t="s">
        <v>107</v>
      </c>
      <c r="F14" t="s">
        <v>728</v>
      </c>
    </row>
    <row r="15" spans="1:6" x14ac:dyDescent="0.25">
      <c r="A15" t="s">
        <v>15</v>
      </c>
      <c r="B15" t="s">
        <v>97</v>
      </c>
      <c r="C15" t="s">
        <v>98</v>
      </c>
      <c r="D15" t="s">
        <v>113</v>
      </c>
      <c r="E15" t="s">
        <v>114</v>
      </c>
      <c r="F15" t="s">
        <v>728</v>
      </c>
    </row>
    <row r="16" spans="1:6" x14ac:dyDescent="0.25">
      <c r="A16" t="s">
        <v>15</v>
      </c>
      <c r="B16" t="s">
        <v>97</v>
      </c>
      <c r="C16" t="s">
        <v>98</v>
      </c>
      <c r="D16" t="s">
        <v>120</v>
      </c>
      <c r="E16" t="s">
        <v>121</v>
      </c>
      <c r="F16" t="s">
        <v>728</v>
      </c>
    </row>
    <row r="17" spans="1:6" x14ac:dyDescent="0.25">
      <c r="A17" t="s">
        <v>15</v>
      </c>
      <c r="B17" t="s">
        <v>97</v>
      </c>
      <c r="C17" t="s">
        <v>98</v>
      </c>
      <c r="D17" t="s">
        <v>127</v>
      </c>
      <c r="E17" t="s">
        <v>128</v>
      </c>
      <c r="F17" t="s">
        <v>728</v>
      </c>
    </row>
    <row r="18" spans="1:6" x14ac:dyDescent="0.25">
      <c r="A18" t="s">
        <v>15</v>
      </c>
      <c r="B18" t="s">
        <v>97</v>
      </c>
      <c r="C18" t="s">
        <v>98</v>
      </c>
      <c r="D18" t="s">
        <v>134</v>
      </c>
      <c r="E18" t="s">
        <v>135</v>
      </c>
      <c r="F18" t="s">
        <v>728</v>
      </c>
    </row>
    <row r="19" spans="1:6" x14ac:dyDescent="0.25">
      <c r="A19" t="s">
        <v>15</v>
      </c>
      <c r="B19" t="s">
        <v>141</v>
      </c>
      <c r="C19" t="s">
        <v>142</v>
      </c>
      <c r="D19" t="s">
        <v>143</v>
      </c>
      <c r="E19" t="s">
        <v>144</v>
      </c>
      <c r="F19" t="s">
        <v>729</v>
      </c>
    </row>
    <row r="20" spans="1:6" x14ac:dyDescent="0.25">
      <c r="A20" t="s">
        <v>15</v>
      </c>
      <c r="B20" t="s">
        <v>141</v>
      </c>
      <c r="C20" t="s">
        <v>142</v>
      </c>
      <c r="D20" t="s">
        <v>150</v>
      </c>
      <c r="E20" t="s">
        <v>151</v>
      </c>
      <c r="F20" t="s">
        <v>729</v>
      </c>
    </row>
    <row r="21" spans="1:6" x14ac:dyDescent="0.25">
      <c r="A21" t="s">
        <v>15</v>
      </c>
      <c r="B21" t="s">
        <v>141</v>
      </c>
      <c r="C21" t="s">
        <v>142</v>
      </c>
      <c r="D21" t="s">
        <v>157</v>
      </c>
      <c r="E21" t="s">
        <v>158</v>
      </c>
      <c r="F21" t="s">
        <v>729</v>
      </c>
    </row>
    <row r="22" spans="1:6" x14ac:dyDescent="0.25">
      <c r="A22" t="s">
        <v>15</v>
      </c>
      <c r="B22" t="s">
        <v>164</v>
      </c>
      <c r="C22" t="s">
        <v>165</v>
      </c>
      <c r="D22" t="s">
        <v>166</v>
      </c>
      <c r="E22" t="s">
        <v>167</v>
      </c>
      <c r="F22" t="s">
        <v>728</v>
      </c>
    </row>
    <row r="23" spans="1:6" x14ac:dyDescent="0.25">
      <c r="A23" t="s">
        <v>15</v>
      </c>
      <c r="B23" t="s">
        <v>164</v>
      </c>
      <c r="C23" t="s">
        <v>165</v>
      </c>
      <c r="D23" t="s">
        <v>173</v>
      </c>
      <c r="E23" t="s">
        <v>174</v>
      </c>
      <c r="F23" t="s">
        <v>728</v>
      </c>
    </row>
    <row r="24" spans="1:6" x14ac:dyDescent="0.25">
      <c r="A24" t="s">
        <v>15</v>
      </c>
      <c r="B24" t="s">
        <v>164</v>
      </c>
      <c r="C24" t="s">
        <v>165</v>
      </c>
      <c r="D24" t="s">
        <v>180</v>
      </c>
      <c r="E24" t="s">
        <v>181</v>
      </c>
      <c r="F24" t="s">
        <v>728</v>
      </c>
    </row>
    <row r="25" spans="1:6" x14ac:dyDescent="0.25">
      <c r="A25" t="s">
        <v>15</v>
      </c>
      <c r="B25" t="s">
        <v>164</v>
      </c>
      <c r="C25" t="s">
        <v>165</v>
      </c>
      <c r="D25" t="s">
        <v>187</v>
      </c>
      <c r="E25" t="s">
        <v>188</v>
      </c>
      <c r="F25" t="s">
        <v>728</v>
      </c>
    </row>
    <row r="26" spans="1:6" x14ac:dyDescent="0.25">
      <c r="A26" t="s">
        <v>15</v>
      </c>
      <c r="B26" t="s">
        <v>164</v>
      </c>
      <c r="C26" t="s">
        <v>165</v>
      </c>
      <c r="D26" t="s">
        <v>194</v>
      </c>
      <c r="E26" t="s">
        <v>195</v>
      </c>
      <c r="F26" t="s">
        <v>728</v>
      </c>
    </row>
    <row r="27" spans="1:6" x14ac:dyDescent="0.25">
      <c r="A27" t="s">
        <v>15</v>
      </c>
      <c r="B27" t="s">
        <v>164</v>
      </c>
      <c r="C27" t="s">
        <v>165</v>
      </c>
      <c r="D27" t="s">
        <v>201</v>
      </c>
      <c r="E27" t="s">
        <v>202</v>
      </c>
      <c r="F27" t="s">
        <v>728</v>
      </c>
    </row>
    <row r="28" spans="1:6" x14ac:dyDescent="0.25">
      <c r="A28" t="s">
        <v>15</v>
      </c>
      <c r="B28" t="s">
        <v>208</v>
      </c>
      <c r="C28" t="s">
        <v>209</v>
      </c>
      <c r="D28" t="s">
        <v>210</v>
      </c>
      <c r="E28" t="s">
        <v>211</v>
      </c>
      <c r="F28" t="s">
        <v>729</v>
      </c>
    </row>
    <row r="29" spans="1:6" x14ac:dyDescent="0.25">
      <c r="A29" t="s">
        <v>15</v>
      </c>
      <c r="B29" t="s">
        <v>208</v>
      </c>
      <c r="C29" t="s">
        <v>209</v>
      </c>
      <c r="D29" t="s">
        <v>217</v>
      </c>
      <c r="E29" t="s">
        <v>218</v>
      </c>
      <c r="F29" t="s">
        <v>729</v>
      </c>
    </row>
    <row r="30" spans="1:6" x14ac:dyDescent="0.25">
      <c r="A30" t="s">
        <v>15</v>
      </c>
      <c r="B30" t="s">
        <v>208</v>
      </c>
      <c r="C30" t="s">
        <v>209</v>
      </c>
      <c r="D30" t="s">
        <v>224</v>
      </c>
      <c r="E30" t="s">
        <v>225</v>
      </c>
      <c r="F30" t="s">
        <v>729</v>
      </c>
    </row>
    <row r="31" spans="1:6" x14ac:dyDescent="0.25">
      <c r="A31" t="s">
        <v>15</v>
      </c>
      <c r="B31" t="s">
        <v>208</v>
      </c>
      <c r="C31" t="s">
        <v>209</v>
      </c>
      <c r="D31" t="s">
        <v>231</v>
      </c>
      <c r="E31" t="s">
        <v>232</v>
      </c>
      <c r="F31" t="s">
        <v>729</v>
      </c>
    </row>
    <row r="32" spans="1:6" x14ac:dyDescent="0.25">
      <c r="A32" t="s">
        <v>15</v>
      </c>
      <c r="B32" t="s">
        <v>208</v>
      </c>
      <c r="C32" t="s">
        <v>209</v>
      </c>
      <c r="D32" t="s">
        <v>238</v>
      </c>
      <c r="E32" t="s">
        <v>239</v>
      </c>
      <c r="F32" t="s">
        <v>729</v>
      </c>
    </row>
    <row r="33" spans="1:6" x14ac:dyDescent="0.25">
      <c r="A33" t="s">
        <v>15</v>
      </c>
      <c r="B33" t="s">
        <v>208</v>
      </c>
      <c r="C33" t="s">
        <v>209</v>
      </c>
      <c r="D33" t="s">
        <v>245</v>
      </c>
      <c r="E33" t="s">
        <v>246</v>
      </c>
      <c r="F33" t="s">
        <v>729</v>
      </c>
    </row>
    <row r="34" spans="1:6" x14ac:dyDescent="0.25">
      <c r="A34" t="s">
        <v>15</v>
      </c>
      <c r="B34" t="s">
        <v>208</v>
      </c>
      <c r="C34" t="s">
        <v>209</v>
      </c>
      <c r="D34" t="s">
        <v>252</v>
      </c>
      <c r="E34" t="s">
        <v>253</v>
      </c>
      <c r="F34" t="s">
        <v>729</v>
      </c>
    </row>
    <row r="35" spans="1:6" x14ac:dyDescent="0.25">
      <c r="A35" t="s">
        <v>15</v>
      </c>
      <c r="B35" t="s">
        <v>208</v>
      </c>
      <c r="C35" t="s">
        <v>209</v>
      </c>
      <c r="D35" t="s">
        <v>259</v>
      </c>
      <c r="E35" t="s">
        <v>260</v>
      </c>
      <c r="F35" t="s">
        <v>729</v>
      </c>
    </row>
    <row r="36" spans="1:6" x14ac:dyDescent="0.25">
      <c r="A36" t="s">
        <v>15</v>
      </c>
      <c r="B36" t="s">
        <v>208</v>
      </c>
      <c r="C36" t="s">
        <v>209</v>
      </c>
      <c r="D36" t="s">
        <v>266</v>
      </c>
      <c r="E36" t="s">
        <v>267</v>
      </c>
      <c r="F36" t="s">
        <v>729</v>
      </c>
    </row>
    <row r="37" spans="1:6" x14ac:dyDescent="0.25">
      <c r="A37" t="s">
        <v>15</v>
      </c>
      <c r="B37" t="s">
        <v>208</v>
      </c>
      <c r="C37" t="s">
        <v>209</v>
      </c>
      <c r="D37" t="s">
        <v>273</v>
      </c>
      <c r="E37" t="s">
        <v>274</v>
      </c>
      <c r="F37" t="s">
        <v>729</v>
      </c>
    </row>
    <row r="38" spans="1:6" x14ac:dyDescent="0.25">
      <c r="A38" t="s">
        <v>15</v>
      </c>
      <c r="B38" t="s">
        <v>208</v>
      </c>
      <c r="C38" t="s">
        <v>209</v>
      </c>
      <c r="D38" t="s">
        <v>280</v>
      </c>
      <c r="E38" t="s">
        <v>281</v>
      </c>
      <c r="F38" t="s">
        <v>729</v>
      </c>
    </row>
    <row r="39" spans="1:6" x14ac:dyDescent="0.25">
      <c r="A39" t="s">
        <v>15</v>
      </c>
      <c r="B39" t="s">
        <v>208</v>
      </c>
      <c r="C39" t="s">
        <v>209</v>
      </c>
      <c r="D39" t="s">
        <v>287</v>
      </c>
      <c r="E39" t="s">
        <v>288</v>
      </c>
      <c r="F39" t="s">
        <v>729</v>
      </c>
    </row>
    <row r="40" spans="1:6" x14ac:dyDescent="0.25">
      <c r="A40" t="s">
        <v>15</v>
      </c>
      <c r="B40" t="s">
        <v>208</v>
      </c>
      <c r="C40" t="s">
        <v>209</v>
      </c>
      <c r="D40" t="s">
        <v>294</v>
      </c>
      <c r="E40" t="s">
        <v>295</v>
      </c>
      <c r="F40" t="s">
        <v>729</v>
      </c>
    </row>
    <row r="41" spans="1:6" x14ac:dyDescent="0.25">
      <c r="A41" t="s">
        <v>15</v>
      </c>
      <c r="B41" t="s">
        <v>208</v>
      </c>
      <c r="C41" t="s">
        <v>209</v>
      </c>
      <c r="D41" t="s">
        <v>301</v>
      </c>
      <c r="E41" t="s">
        <v>302</v>
      </c>
      <c r="F41" t="s">
        <v>729</v>
      </c>
    </row>
    <row r="42" spans="1:6" x14ac:dyDescent="0.25">
      <c r="A42" t="s">
        <v>15</v>
      </c>
      <c r="B42" t="s">
        <v>208</v>
      </c>
      <c r="C42" t="s">
        <v>209</v>
      </c>
      <c r="D42" t="s">
        <v>308</v>
      </c>
      <c r="E42" t="s">
        <v>309</v>
      </c>
      <c r="F42" t="s">
        <v>729</v>
      </c>
    </row>
    <row r="43" spans="1:6" x14ac:dyDescent="0.25">
      <c r="A43" t="s">
        <v>15</v>
      </c>
      <c r="B43" t="s">
        <v>208</v>
      </c>
      <c r="C43" t="s">
        <v>209</v>
      </c>
      <c r="D43" t="s">
        <v>315</v>
      </c>
      <c r="E43" t="s">
        <v>316</v>
      </c>
      <c r="F43" t="s">
        <v>729</v>
      </c>
    </row>
    <row r="44" spans="1:6" x14ac:dyDescent="0.25">
      <c r="A44" t="s">
        <v>15</v>
      </c>
      <c r="B44" t="s">
        <v>208</v>
      </c>
      <c r="C44" t="s">
        <v>209</v>
      </c>
      <c r="D44" t="s">
        <v>322</v>
      </c>
      <c r="E44" t="s">
        <v>323</v>
      </c>
      <c r="F44" t="s">
        <v>729</v>
      </c>
    </row>
    <row r="45" spans="1:6" x14ac:dyDescent="0.25">
      <c r="A45" t="s">
        <v>15</v>
      </c>
      <c r="B45" t="s">
        <v>329</v>
      </c>
      <c r="C45" t="s">
        <v>330</v>
      </c>
      <c r="D45" t="s">
        <v>331</v>
      </c>
      <c r="E45" t="s">
        <v>332</v>
      </c>
      <c r="F45" t="s">
        <v>729</v>
      </c>
    </row>
    <row r="46" spans="1:6" x14ac:dyDescent="0.25">
      <c r="A46" t="s">
        <v>15</v>
      </c>
      <c r="B46" t="s">
        <v>329</v>
      </c>
      <c r="C46" t="s">
        <v>330</v>
      </c>
      <c r="D46" t="s">
        <v>338</v>
      </c>
      <c r="E46" t="s">
        <v>339</v>
      </c>
      <c r="F46" t="s">
        <v>729</v>
      </c>
    </row>
    <row r="47" spans="1:6" x14ac:dyDescent="0.25">
      <c r="A47" t="s">
        <v>15</v>
      </c>
      <c r="B47" t="s">
        <v>329</v>
      </c>
      <c r="C47" t="s">
        <v>330</v>
      </c>
      <c r="D47" t="s">
        <v>345</v>
      </c>
      <c r="E47" t="s">
        <v>346</v>
      </c>
      <c r="F47" t="s">
        <v>729</v>
      </c>
    </row>
    <row r="48" spans="1:6" x14ac:dyDescent="0.25">
      <c r="A48" t="s">
        <v>15</v>
      </c>
      <c r="B48" t="s">
        <v>329</v>
      </c>
      <c r="C48" t="s">
        <v>330</v>
      </c>
      <c r="D48" t="s">
        <v>352</v>
      </c>
      <c r="E48" t="s">
        <v>353</v>
      </c>
      <c r="F48" t="s">
        <v>729</v>
      </c>
    </row>
    <row r="49" spans="1:6" x14ac:dyDescent="0.25">
      <c r="A49" t="s">
        <v>15</v>
      </c>
      <c r="B49" t="s">
        <v>329</v>
      </c>
      <c r="C49" t="s">
        <v>330</v>
      </c>
      <c r="D49" t="s">
        <v>359</v>
      </c>
      <c r="E49" t="s">
        <v>360</v>
      </c>
      <c r="F49" t="s">
        <v>729</v>
      </c>
    </row>
    <row r="50" spans="1:6" x14ac:dyDescent="0.25">
      <c r="A50" t="s">
        <v>15</v>
      </c>
      <c r="B50" t="s">
        <v>329</v>
      </c>
      <c r="C50" t="s">
        <v>330</v>
      </c>
      <c r="D50" t="s">
        <v>366</v>
      </c>
      <c r="E50" t="s">
        <v>367</v>
      </c>
      <c r="F50" t="s">
        <v>729</v>
      </c>
    </row>
    <row r="51" spans="1:6" x14ac:dyDescent="0.25">
      <c r="A51" t="s">
        <v>15</v>
      </c>
      <c r="B51" t="s">
        <v>329</v>
      </c>
      <c r="C51" t="s">
        <v>330</v>
      </c>
      <c r="D51" t="s">
        <v>373</v>
      </c>
      <c r="E51" t="s">
        <v>374</v>
      </c>
      <c r="F51" t="s">
        <v>729</v>
      </c>
    </row>
    <row r="52" spans="1:6" x14ac:dyDescent="0.25">
      <c r="A52" t="s">
        <v>15</v>
      </c>
      <c r="B52" t="s">
        <v>380</v>
      </c>
      <c r="C52" t="s">
        <v>381</v>
      </c>
      <c r="D52" t="s">
        <v>382</v>
      </c>
      <c r="E52" t="s">
        <v>383</v>
      </c>
      <c r="F52" t="s">
        <v>730</v>
      </c>
    </row>
    <row r="53" spans="1:6" x14ac:dyDescent="0.25">
      <c r="A53" t="s">
        <v>15</v>
      </c>
      <c r="B53" t="s">
        <v>380</v>
      </c>
      <c r="C53" t="s">
        <v>381</v>
      </c>
      <c r="D53" t="s">
        <v>389</v>
      </c>
      <c r="E53" t="s">
        <v>390</v>
      </c>
      <c r="F53" t="s">
        <v>730</v>
      </c>
    </row>
    <row r="54" spans="1:6" x14ac:dyDescent="0.25">
      <c r="A54" t="s">
        <v>15</v>
      </c>
      <c r="B54" t="s">
        <v>380</v>
      </c>
      <c r="C54" t="s">
        <v>381</v>
      </c>
      <c r="D54" t="s">
        <v>396</v>
      </c>
      <c r="E54" t="s">
        <v>397</v>
      </c>
      <c r="F54" t="s">
        <v>730</v>
      </c>
    </row>
    <row r="55" spans="1:6" x14ac:dyDescent="0.25">
      <c r="A55" t="s">
        <v>15</v>
      </c>
      <c r="B55" t="s">
        <v>380</v>
      </c>
      <c r="C55" t="s">
        <v>381</v>
      </c>
      <c r="D55" t="s">
        <v>403</v>
      </c>
      <c r="E55" t="s">
        <v>404</v>
      </c>
      <c r="F55" t="s">
        <v>730</v>
      </c>
    </row>
    <row r="56" spans="1:6" x14ac:dyDescent="0.25">
      <c r="A56" t="s">
        <v>15</v>
      </c>
      <c r="B56" t="s">
        <v>410</v>
      </c>
      <c r="C56" t="s">
        <v>411</v>
      </c>
      <c r="D56" t="s">
        <v>412</v>
      </c>
      <c r="E56" t="s">
        <v>413</v>
      </c>
      <c r="F56" t="s">
        <v>728</v>
      </c>
    </row>
    <row r="57" spans="1:6" x14ac:dyDescent="0.25">
      <c r="A57" t="s">
        <v>15</v>
      </c>
      <c r="B57" t="s">
        <v>410</v>
      </c>
      <c r="C57" t="s">
        <v>411</v>
      </c>
      <c r="D57" t="s">
        <v>419</v>
      </c>
      <c r="E57" t="s">
        <v>420</v>
      </c>
      <c r="F57" t="s">
        <v>728</v>
      </c>
    </row>
    <row r="58" spans="1:6" x14ac:dyDescent="0.25">
      <c r="A58" t="s">
        <v>15</v>
      </c>
      <c r="B58" t="s">
        <v>410</v>
      </c>
      <c r="C58" t="s">
        <v>411</v>
      </c>
      <c r="D58" t="s">
        <v>426</v>
      </c>
      <c r="E58" t="s">
        <v>427</v>
      </c>
      <c r="F58" t="s">
        <v>728</v>
      </c>
    </row>
    <row r="59" spans="1:6" x14ac:dyDescent="0.25">
      <c r="A59" t="s">
        <v>15</v>
      </c>
      <c r="B59" t="s">
        <v>410</v>
      </c>
      <c r="C59" t="s">
        <v>411</v>
      </c>
      <c r="D59" t="s">
        <v>433</v>
      </c>
      <c r="E59" t="s">
        <v>434</v>
      </c>
      <c r="F59" t="s">
        <v>728</v>
      </c>
    </row>
    <row r="60" spans="1:6" x14ac:dyDescent="0.25">
      <c r="A60" t="s">
        <v>15</v>
      </c>
      <c r="B60" t="s">
        <v>410</v>
      </c>
      <c r="C60" t="s">
        <v>411</v>
      </c>
      <c r="D60" t="s">
        <v>440</v>
      </c>
      <c r="E60" t="s">
        <v>441</v>
      </c>
      <c r="F60" t="s">
        <v>728</v>
      </c>
    </row>
    <row r="61" spans="1:6" x14ac:dyDescent="0.25">
      <c r="A61" t="s">
        <v>15</v>
      </c>
      <c r="B61" t="s">
        <v>410</v>
      </c>
      <c r="C61" t="s">
        <v>411</v>
      </c>
      <c r="D61" t="s">
        <v>447</v>
      </c>
      <c r="E61" t="s">
        <v>448</v>
      </c>
      <c r="F61" t="s">
        <v>728</v>
      </c>
    </row>
    <row r="62" spans="1:6" x14ac:dyDescent="0.25">
      <c r="A62" t="s">
        <v>15</v>
      </c>
      <c r="B62" t="s">
        <v>410</v>
      </c>
      <c r="C62" t="s">
        <v>411</v>
      </c>
      <c r="D62" t="s">
        <v>454</v>
      </c>
      <c r="E62" t="s">
        <v>455</v>
      </c>
      <c r="F62" t="s">
        <v>728</v>
      </c>
    </row>
    <row r="63" spans="1:6" x14ac:dyDescent="0.25">
      <c r="A63" t="s">
        <v>15</v>
      </c>
      <c r="B63" t="s">
        <v>410</v>
      </c>
      <c r="C63" t="s">
        <v>411</v>
      </c>
      <c r="D63" t="s">
        <v>461</v>
      </c>
      <c r="E63" t="s">
        <v>462</v>
      </c>
      <c r="F63" t="s">
        <v>728</v>
      </c>
    </row>
    <row r="64" spans="1:6" x14ac:dyDescent="0.25">
      <c r="A64" t="s">
        <v>15</v>
      </c>
      <c r="B64" t="s">
        <v>410</v>
      </c>
      <c r="C64" t="s">
        <v>411</v>
      </c>
      <c r="D64" t="s">
        <v>468</v>
      </c>
      <c r="E64" t="s">
        <v>469</v>
      </c>
      <c r="F64" t="s">
        <v>728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</vt:lpstr>
      <vt:lpstr>Recommendations</vt:lpstr>
      <vt:lpstr>KB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language>en-US</dc:language>
  <cp:lastModifiedBy>HIMANSHU SOMKUWAR</cp:lastModifiedBy>
  <dcterms:created xsi:type="dcterms:W3CDTF">2026-08-06T05:46:22Z</dcterms:created>
  <dcterms:modified xsi:type="dcterms:W3CDTF">2026-08-06T09:53:53Z</dcterms:modified>
</cp:coreProperties>
</file>